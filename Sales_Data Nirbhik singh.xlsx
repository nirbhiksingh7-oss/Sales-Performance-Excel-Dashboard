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d.docs.live.net/710c14e3a9334f9b/Desktop/Sales Performance Excel Dashboard/"/>
    </mc:Choice>
  </mc:AlternateContent>
  <xr:revisionPtr revIDLastSave="15" documentId="8_{BD338C9D-E8AD-41F4-921B-1F5AFD7874CE}" xr6:coauthVersionLast="47" xr6:coauthVersionMax="47" xr10:uidLastSave="{11B8673F-6D30-42E0-A906-1EAE75E0D108}"/>
  <bookViews>
    <workbookView xWindow="0" yWindow="0" windowWidth="23040" windowHeight="12240" firstSheet="2" activeTab="3" xr2:uid="{00000000-000D-0000-FFFF-FFFF00000000}"/>
  </bookViews>
  <sheets>
    <sheet name="Products" sheetId="3" r:id="rId1"/>
    <sheet name="Managers" sheetId="2" r:id="rId2"/>
    <sheet name="Data" sheetId="1" r:id="rId3"/>
    <sheet name="Detailed Performance Analysis" sheetId="7" r:id="rId4"/>
    <sheet name="Power Pivot-Key Facts" sheetId="9" r:id="rId5"/>
    <sheet name="Data visualization(Dashboard)" sheetId="11" r:id="rId6"/>
  </sheets>
  <definedNames>
    <definedName name="_xlnm._FilterDatabase" localSheetId="2" hidden="1">Data!$A$1:$G$1</definedName>
    <definedName name="_xlnm._FilterDatabase" localSheetId="3" hidden="1">'Detailed Performance Analysis'!$J$6:$J$10</definedName>
    <definedName name="_xlchart.v1.0" hidden="1">'Data visualization(Dashboard)'!$Q$13:$Q$17</definedName>
    <definedName name="_xlchart.v1.1" hidden="1">'Data visualization(Dashboard)'!$R$13:$R$17</definedName>
    <definedName name="ExternalData_1" localSheetId="3" hidden="1">'Detailed Performance Analysis'!$A$2:$D$122</definedName>
    <definedName name="ExternalData_2" localSheetId="3" hidden="1">'Detailed Performance Analysis'!$F$5:$H$10</definedName>
    <definedName name="ExternalData_3" localSheetId="3" hidden="1">'Detailed Performance Analysis'!$F$15:$H$20</definedName>
    <definedName name="NativeTimeline_Date">#N/A</definedName>
    <definedName name="Slicer_Manager_names">#N/A</definedName>
    <definedName name="Slicer_Month">#N/A</definedName>
    <definedName name="Slicer_Product_Description">#N/A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3" i="11" l="1"/>
  <c r="K6" i="7"/>
  <c r="R16" i="11"/>
  <c r="R15" i="11"/>
  <c r="R13" i="11"/>
  <c r="U21" i="11"/>
  <c r="U22" i="11"/>
  <c r="U24" i="11"/>
  <c r="S21" i="11"/>
  <c r="S22" i="11"/>
  <c r="S23" i="11"/>
  <c r="S24" i="11"/>
  <c r="S20" i="11"/>
  <c r="T21" i="11"/>
  <c r="T22" i="11"/>
  <c r="T23" i="11"/>
  <c r="T24" i="11"/>
  <c r="U20" i="11"/>
  <c r="T20" i="11"/>
  <c r="R14" i="11" l="1"/>
  <c r="M6" i="7"/>
  <c r="G362" i="1"/>
  <c r="F362" i="1"/>
  <c r="K361" i="1"/>
  <c r="L361" i="1" s="1"/>
  <c r="J361" i="1"/>
  <c r="I361" i="1"/>
  <c r="H361" i="1"/>
  <c r="B361" i="1"/>
  <c r="K181" i="1"/>
  <c r="J181" i="1"/>
  <c r="I181" i="1"/>
  <c r="H181" i="1"/>
  <c r="B181" i="1"/>
  <c r="L180" i="1"/>
  <c r="M180" i="1" s="1"/>
  <c r="K180" i="1"/>
  <c r="J180" i="1"/>
  <c r="I180" i="1"/>
  <c r="H180" i="1"/>
  <c r="B180" i="1"/>
  <c r="K360" i="1"/>
  <c r="J360" i="1"/>
  <c r="I360" i="1"/>
  <c r="H360" i="1"/>
  <c r="B360" i="1"/>
  <c r="K179" i="1"/>
  <c r="J179" i="1"/>
  <c r="I179" i="1"/>
  <c r="H179" i="1"/>
  <c r="B179" i="1"/>
  <c r="K359" i="1"/>
  <c r="L359" i="1" s="1"/>
  <c r="J359" i="1"/>
  <c r="I359" i="1"/>
  <c r="H359" i="1"/>
  <c r="B359" i="1"/>
  <c r="K358" i="1"/>
  <c r="L358" i="1" s="1"/>
  <c r="M358" i="1" s="1"/>
  <c r="J358" i="1"/>
  <c r="I358" i="1"/>
  <c r="H358" i="1"/>
  <c r="B358" i="1"/>
  <c r="K357" i="1"/>
  <c r="J357" i="1"/>
  <c r="I357" i="1"/>
  <c r="H357" i="1"/>
  <c r="B357" i="1"/>
  <c r="K178" i="1"/>
  <c r="J178" i="1"/>
  <c r="I178" i="1"/>
  <c r="H178" i="1"/>
  <c r="B178" i="1"/>
  <c r="K356" i="1"/>
  <c r="L356" i="1" s="1"/>
  <c r="M356" i="1" s="1"/>
  <c r="J356" i="1"/>
  <c r="I356" i="1"/>
  <c r="H356" i="1"/>
  <c r="B356" i="1"/>
  <c r="K177" i="1"/>
  <c r="L177" i="1" s="1"/>
  <c r="J177" i="1"/>
  <c r="I177" i="1"/>
  <c r="H177" i="1"/>
  <c r="B177" i="1"/>
  <c r="K176" i="1"/>
  <c r="J176" i="1"/>
  <c r="I176" i="1"/>
  <c r="H176" i="1"/>
  <c r="B176" i="1"/>
  <c r="K175" i="1"/>
  <c r="J175" i="1"/>
  <c r="I175" i="1"/>
  <c r="H175" i="1"/>
  <c r="B175" i="1"/>
  <c r="K355" i="1"/>
  <c r="J355" i="1"/>
  <c r="I355" i="1"/>
  <c r="H355" i="1"/>
  <c r="B355" i="1"/>
  <c r="K354" i="1"/>
  <c r="L354" i="1" s="1"/>
  <c r="M354" i="1" s="1"/>
  <c r="J354" i="1"/>
  <c r="I354" i="1"/>
  <c r="H354" i="1"/>
  <c r="B354" i="1"/>
  <c r="K174" i="1"/>
  <c r="L174" i="1" s="1"/>
  <c r="M174" i="1" s="1"/>
  <c r="J174" i="1"/>
  <c r="I174" i="1"/>
  <c r="H174" i="1"/>
  <c r="B174" i="1"/>
  <c r="K173" i="1"/>
  <c r="J173" i="1"/>
  <c r="I173" i="1"/>
  <c r="H173" i="1"/>
  <c r="B173" i="1"/>
  <c r="K353" i="1"/>
  <c r="L353" i="1" s="1"/>
  <c r="M353" i="1" s="1"/>
  <c r="J353" i="1"/>
  <c r="I353" i="1"/>
  <c r="H353" i="1"/>
  <c r="B353" i="1"/>
  <c r="K352" i="1"/>
  <c r="J352" i="1"/>
  <c r="I352" i="1"/>
  <c r="H352" i="1"/>
  <c r="B352" i="1"/>
  <c r="K172" i="1"/>
  <c r="J172" i="1"/>
  <c r="I172" i="1"/>
  <c r="H172" i="1"/>
  <c r="B172" i="1"/>
  <c r="K351" i="1"/>
  <c r="L351" i="1" s="1"/>
  <c r="J351" i="1"/>
  <c r="I351" i="1"/>
  <c r="H351" i="1"/>
  <c r="B351" i="1"/>
  <c r="K171" i="1"/>
  <c r="L171" i="1" s="1"/>
  <c r="M171" i="1" s="1"/>
  <c r="J171" i="1"/>
  <c r="I171" i="1"/>
  <c r="H171" i="1"/>
  <c r="B171" i="1"/>
  <c r="K350" i="1"/>
  <c r="J350" i="1"/>
  <c r="I350" i="1"/>
  <c r="H350" i="1"/>
  <c r="B350" i="1"/>
  <c r="K170" i="1"/>
  <c r="J170" i="1"/>
  <c r="I170" i="1"/>
  <c r="H170" i="1"/>
  <c r="B170" i="1"/>
  <c r="K169" i="1"/>
  <c r="L169" i="1" s="1"/>
  <c r="M169" i="1" s="1"/>
  <c r="J169" i="1"/>
  <c r="I169" i="1"/>
  <c r="H169" i="1"/>
  <c r="B169" i="1"/>
  <c r="K349" i="1"/>
  <c r="L349" i="1" s="1"/>
  <c r="M349" i="1" s="1"/>
  <c r="J349" i="1"/>
  <c r="I349" i="1"/>
  <c r="H349" i="1"/>
  <c r="B349" i="1"/>
  <c r="K348" i="1"/>
  <c r="L348" i="1" s="1"/>
  <c r="M348" i="1" s="1"/>
  <c r="J348" i="1"/>
  <c r="I348" i="1"/>
  <c r="H348" i="1"/>
  <c r="B348" i="1"/>
  <c r="K347" i="1"/>
  <c r="L347" i="1" s="1"/>
  <c r="J347" i="1"/>
  <c r="I347" i="1"/>
  <c r="H347" i="1"/>
  <c r="B347" i="1"/>
  <c r="K168" i="1"/>
  <c r="J168" i="1"/>
  <c r="I168" i="1"/>
  <c r="H168" i="1"/>
  <c r="B168" i="1"/>
  <c r="K167" i="1"/>
  <c r="L167" i="1" s="1"/>
  <c r="M167" i="1" s="1"/>
  <c r="J167" i="1"/>
  <c r="I167" i="1"/>
  <c r="H167" i="1"/>
  <c r="B167" i="1"/>
  <c r="K166" i="1"/>
  <c r="J166" i="1"/>
  <c r="I166" i="1"/>
  <c r="H166" i="1"/>
  <c r="B166" i="1"/>
  <c r="K165" i="1"/>
  <c r="L165" i="1" s="1"/>
  <c r="M165" i="1" s="1"/>
  <c r="J165" i="1"/>
  <c r="I165" i="1"/>
  <c r="H165" i="1"/>
  <c r="B165" i="1"/>
  <c r="K346" i="1"/>
  <c r="J346" i="1"/>
  <c r="I346" i="1"/>
  <c r="H346" i="1"/>
  <c r="B346" i="1"/>
  <c r="K345" i="1"/>
  <c r="L345" i="1" s="1"/>
  <c r="J345" i="1"/>
  <c r="I345" i="1"/>
  <c r="H345" i="1"/>
  <c r="B345" i="1"/>
  <c r="K344" i="1"/>
  <c r="J344" i="1"/>
  <c r="I344" i="1"/>
  <c r="H344" i="1"/>
  <c r="B344" i="1"/>
  <c r="K164" i="1"/>
  <c r="J164" i="1"/>
  <c r="I164" i="1"/>
  <c r="H164" i="1"/>
  <c r="B164" i="1"/>
  <c r="K343" i="1"/>
  <c r="J343" i="1"/>
  <c r="I343" i="1"/>
  <c r="H343" i="1"/>
  <c r="B343" i="1"/>
  <c r="K163" i="1"/>
  <c r="J163" i="1"/>
  <c r="I163" i="1"/>
  <c r="H163" i="1"/>
  <c r="B163" i="1"/>
  <c r="K342" i="1"/>
  <c r="L342" i="1" s="1"/>
  <c r="M342" i="1" s="1"/>
  <c r="J342" i="1"/>
  <c r="I342" i="1"/>
  <c r="H342" i="1"/>
  <c r="B342" i="1"/>
  <c r="K162" i="1"/>
  <c r="J162" i="1"/>
  <c r="I162" i="1"/>
  <c r="H162" i="1"/>
  <c r="B162" i="1"/>
  <c r="K341" i="1"/>
  <c r="J341" i="1"/>
  <c r="I341" i="1"/>
  <c r="H341" i="1"/>
  <c r="B341" i="1"/>
  <c r="K161" i="1"/>
  <c r="L161" i="1" s="1"/>
  <c r="J161" i="1"/>
  <c r="I161" i="1"/>
  <c r="H161" i="1"/>
  <c r="B161" i="1"/>
  <c r="K160" i="1"/>
  <c r="L160" i="1" s="1"/>
  <c r="M160" i="1" s="1"/>
  <c r="J160" i="1"/>
  <c r="I160" i="1"/>
  <c r="H160" i="1"/>
  <c r="B160" i="1"/>
  <c r="K159" i="1"/>
  <c r="J159" i="1"/>
  <c r="I159" i="1"/>
  <c r="H159" i="1"/>
  <c r="B159" i="1"/>
  <c r="K340" i="1"/>
  <c r="J340" i="1"/>
  <c r="I340" i="1"/>
  <c r="H340" i="1"/>
  <c r="B340" i="1"/>
  <c r="K339" i="1"/>
  <c r="L339" i="1" s="1"/>
  <c r="M339" i="1" s="1"/>
  <c r="J339" i="1"/>
  <c r="I339" i="1"/>
  <c r="H339" i="1"/>
  <c r="B339" i="1"/>
  <c r="K338" i="1"/>
  <c r="J338" i="1"/>
  <c r="I338" i="1"/>
  <c r="H338" i="1"/>
  <c r="B338" i="1"/>
  <c r="K158" i="1"/>
  <c r="L158" i="1" s="1"/>
  <c r="J158" i="1"/>
  <c r="I158" i="1"/>
  <c r="H158" i="1"/>
  <c r="B158" i="1"/>
  <c r="K157" i="1"/>
  <c r="J157" i="1"/>
  <c r="I157" i="1"/>
  <c r="H157" i="1"/>
  <c r="B157" i="1"/>
  <c r="K337" i="1"/>
  <c r="L337" i="1" s="1"/>
  <c r="J337" i="1"/>
  <c r="I337" i="1"/>
  <c r="H337" i="1"/>
  <c r="B337" i="1"/>
  <c r="K336" i="1"/>
  <c r="L336" i="1" s="1"/>
  <c r="M336" i="1" s="1"/>
  <c r="J336" i="1"/>
  <c r="I336" i="1"/>
  <c r="H336" i="1"/>
  <c r="B336" i="1"/>
  <c r="K156" i="1"/>
  <c r="L156" i="1" s="1"/>
  <c r="M156" i="1" s="1"/>
  <c r="J156" i="1"/>
  <c r="I156" i="1"/>
  <c r="H156" i="1"/>
  <c r="B156" i="1"/>
  <c r="K155" i="1"/>
  <c r="J155" i="1"/>
  <c r="I155" i="1"/>
  <c r="H155" i="1"/>
  <c r="B155" i="1"/>
  <c r="K335" i="1"/>
  <c r="L335" i="1" s="1"/>
  <c r="J335" i="1"/>
  <c r="I335" i="1"/>
  <c r="H335" i="1"/>
  <c r="B335" i="1"/>
  <c r="K154" i="1"/>
  <c r="J154" i="1"/>
  <c r="I154" i="1"/>
  <c r="H154" i="1"/>
  <c r="B154" i="1"/>
  <c r="K334" i="1"/>
  <c r="L334" i="1" s="1"/>
  <c r="J334" i="1"/>
  <c r="I334" i="1"/>
  <c r="H334" i="1"/>
  <c r="B334" i="1"/>
  <c r="K153" i="1"/>
  <c r="J153" i="1"/>
  <c r="I153" i="1"/>
  <c r="H153" i="1"/>
  <c r="B153" i="1"/>
  <c r="K152" i="1"/>
  <c r="L152" i="1" s="1"/>
  <c r="M152" i="1" s="1"/>
  <c r="J152" i="1"/>
  <c r="I152" i="1"/>
  <c r="H152" i="1"/>
  <c r="B152" i="1"/>
  <c r="K333" i="1"/>
  <c r="J333" i="1"/>
  <c r="I333" i="1"/>
  <c r="H333" i="1"/>
  <c r="B333" i="1"/>
  <c r="K332" i="1"/>
  <c r="J332" i="1"/>
  <c r="I332" i="1"/>
  <c r="H332" i="1"/>
  <c r="B332" i="1"/>
  <c r="K151" i="1"/>
  <c r="L151" i="1" s="1"/>
  <c r="M151" i="1" s="1"/>
  <c r="J151" i="1"/>
  <c r="I151" i="1"/>
  <c r="H151" i="1"/>
  <c r="B151" i="1"/>
  <c r="K331" i="1"/>
  <c r="J331" i="1"/>
  <c r="I331" i="1"/>
  <c r="H331" i="1"/>
  <c r="B331" i="1"/>
  <c r="K150" i="1"/>
  <c r="L150" i="1" s="1"/>
  <c r="M150" i="1" s="1"/>
  <c r="J150" i="1"/>
  <c r="I150" i="1"/>
  <c r="H150" i="1"/>
  <c r="B150" i="1"/>
  <c r="K330" i="1"/>
  <c r="J330" i="1"/>
  <c r="I330" i="1"/>
  <c r="H330" i="1"/>
  <c r="B330" i="1"/>
  <c r="K329" i="1"/>
  <c r="J329" i="1"/>
  <c r="I329" i="1"/>
  <c r="H329" i="1"/>
  <c r="B329" i="1"/>
  <c r="K149" i="1"/>
  <c r="J149" i="1"/>
  <c r="I149" i="1"/>
  <c r="H149" i="1"/>
  <c r="B149" i="1"/>
  <c r="K148" i="1"/>
  <c r="J148" i="1"/>
  <c r="I148" i="1"/>
  <c r="H148" i="1"/>
  <c r="B148" i="1"/>
  <c r="K147" i="1"/>
  <c r="L147" i="1" s="1"/>
  <c r="J147" i="1"/>
  <c r="I147" i="1"/>
  <c r="H147" i="1"/>
  <c r="B147" i="1"/>
  <c r="K146" i="1"/>
  <c r="L146" i="1" s="1"/>
  <c r="M146" i="1" s="1"/>
  <c r="J146" i="1"/>
  <c r="I146" i="1"/>
  <c r="H146" i="1"/>
  <c r="B146" i="1"/>
  <c r="K328" i="1"/>
  <c r="L328" i="1" s="1"/>
  <c r="J328" i="1"/>
  <c r="I328" i="1"/>
  <c r="H328" i="1"/>
  <c r="B328" i="1"/>
  <c r="K327" i="1"/>
  <c r="J327" i="1"/>
  <c r="I327" i="1"/>
  <c r="H327" i="1"/>
  <c r="B327" i="1"/>
  <c r="K326" i="1"/>
  <c r="J326" i="1"/>
  <c r="I326" i="1"/>
  <c r="H326" i="1"/>
  <c r="B326" i="1"/>
  <c r="K325" i="1"/>
  <c r="L325" i="1" s="1"/>
  <c r="J325" i="1"/>
  <c r="I325" i="1"/>
  <c r="H325" i="1"/>
  <c r="B325" i="1"/>
  <c r="K145" i="1"/>
  <c r="L145" i="1" s="1"/>
  <c r="J145" i="1"/>
  <c r="I145" i="1"/>
  <c r="H145" i="1"/>
  <c r="B145" i="1"/>
  <c r="K324" i="1"/>
  <c r="L324" i="1" s="1"/>
  <c r="M324" i="1" s="1"/>
  <c r="J324" i="1"/>
  <c r="I324" i="1"/>
  <c r="H324" i="1"/>
  <c r="B324" i="1"/>
  <c r="K144" i="1"/>
  <c r="L144" i="1" s="1"/>
  <c r="J144" i="1"/>
  <c r="I144" i="1"/>
  <c r="H144" i="1"/>
  <c r="B144" i="1"/>
  <c r="K143" i="1"/>
  <c r="J143" i="1"/>
  <c r="I143" i="1"/>
  <c r="H143" i="1"/>
  <c r="B143" i="1"/>
  <c r="K323" i="1"/>
  <c r="J323" i="1"/>
  <c r="I323" i="1"/>
  <c r="H323" i="1"/>
  <c r="B323" i="1"/>
  <c r="K322" i="1"/>
  <c r="L322" i="1" s="1"/>
  <c r="M322" i="1" s="1"/>
  <c r="J322" i="1"/>
  <c r="I322" i="1"/>
  <c r="H322" i="1"/>
  <c r="B322" i="1"/>
  <c r="K142" i="1"/>
  <c r="L142" i="1" s="1"/>
  <c r="J142" i="1"/>
  <c r="I142" i="1"/>
  <c r="H142" i="1"/>
  <c r="B142" i="1"/>
  <c r="K141" i="1"/>
  <c r="J141" i="1"/>
  <c r="I141" i="1"/>
  <c r="H141" i="1"/>
  <c r="B141" i="1"/>
  <c r="K321" i="1"/>
  <c r="L321" i="1" s="1"/>
  <c r="M321" i="1" s="1"/>
  <c r="J321" i="1"/>
  <c r="I321" i="1"/>
  <c r="H321" i="1"/>
  <c r="B321" i="1"/>
  <c r="K320" i="1"/>
  <c r="L320" i="1" s="1"/>
  <c r="J320" i="1"/>
  <c r="I320" i="1"/>
  <c r="H320" i="1"/>
  <c r="B320" i="1"/>
  <c r="K140" i="1"/>
  <c r="J140" i="1"/>
  <c r="I140" i="1"/>
  <c r="H140" i="1"/>
  <c r="B140" i="1"/>
  <c r="K139" i="1"/>
  <c r="J139" i="1"/>
  <c r="I139" i="1"/>
  <c r="H139" i="1"/>
  <c r="B139" i="1"/>
  <c r="K319" i="1"/>
  <c r="J319" i="1"/>
  <c r="I319" i="1"/>
  <c r="H319" i="1"/>
  <c r="B319" i="1"/>
  <c r="K318" i="1"/>
  <c r="L318" i="1" s="1"/>
  <c r="M318" i="1" s="1"/>
  <c r="J318" i="1"/>
  <c r="I318" i="1"/>
  <c r="H318" i="1"/>
  <c r="B318" i="1"/>
  <c r="K317" i="1"/>
  <c r="L317" i="1" s="1"/>
  <c r="M317" i="1" s="1"/>
  <c r="J317" i="1"/>
  <c r="I317" i="1"/>
  <c r="H317" i="1"/>
  <c r="B317" i="1"/>
  <c r="K138" i="1"/>
  <c r="J138" i="1"/>
  <c r="I138" i="1"/>
  <c r="H138" i="1"/>
  <c r="B138" i="1"/>
  <c r="K137" i="1"/>
  <c r="L137" i="1" s="1"/>
  <c r="M137" i="1" s="1"/>
  <c r="J137" i="1"/>
  <c r="I137" i="1"/>
  <c r="H137" i="1"/>
  <c r="B137" i="1"/>
  <c r="K136" i="1"/>
  <c r="L136" i="1" s="1"/>
  <c r="J136" i="1"/>
  <c r="I136" i="1"/>
  <c r="H136" i="1"/>
  <c r="B136" i="1"/>
  <c r="K316" i="1"/>
  <c r="L316" i="1" s="1"/>
  <c r="J316" i="1"/>
  <c r="I316" i="1"/>
  <c r="H316" i="1"/>
  <c r="B316" i="1"/>
  <c r="K135" i="1"/>
  <c r="L135" i="1" s="1"/>
  <c r="J135" i="1"/>
  <c r="I135" i="1"/>
  <c r="H135" i="1"/>
  <c r="B135" i="1"/>
  <c r="K315" i="1"/>
  <c r="L315" i="1" s="1"/>
  <c r="M315" i="1" s="1"/>
  <c r="J315" i="1"/>
  <c r="I315" i="1"/>
  <c r="H315" i="1"/>
  <c r="B315" i="1"/>
  <c r="K134" i="1"/>
  <c r="L134" i="1" s="1"/>
  <c r="J134" i="1"/>
  <c r="I134" i="1"/>
  <c r="H134" i="1"/>
  <c r="B134" i="1"/>
  <c r="K314" i="1"/>
  <c r="J314" i="1"/>
  <c r="I314" i="1"/>
  <c r="H314" i="1"/>
  <c r="B314" i="1"/>
  <c r="K313" i="1"/>
  <c r="L313" i="1" s="1"/>
  <c r="J313" i="1"/>
  <c r="I313" i="1"/>
  <c r="H313" i="1"/>
  <c r="B313" i="1"/>
  <c r="K312" i="1"/>
  <c r="L312" i="1" s="1"/>
  <c r="M312" i="1" s="1"/>
  <c r="J312" i="1"/>
  <c r="I312" i="1"/>
  <c r="H312" i="1"/>
  <c r="B312" i="1"/>
  <c r="K133" i="1"/>
  <c r="L133" i="1" s="1"/>
  <c r="M133" i="1" s="1"/>
  <c r="J133" i="1"/>
  <c r="I133" i="1"/>
  <c r="H133" i="1"/>
  <c r="B133" i="1"/>
  <c r="K132" i="1"/>
  <c r="J132" i="1"/>
  <c r="I132" i="1"/>
  <c r="H132" i="1"/>
  <c r="B132" i="1"/>
  <c r="K131" i="1"/>
  <c r="J131" i="1"/>
  <c r="I131" i="1"/>
  <c r="H131" i="1"/>
  <c r="B131" i="1"/>
  <c r="K311" i="1"/>
  <c r="J311" i="1"/>
  <c r="I311" i="1"/>
  <c r="H311" i="1"/>
  <c r="B311" i="1"/>
  <c r="K130" i="1"/>
  <c r="J130" i="1"/>
  <c r="I130" i="1"/>
  <c r="H130" i="1"/>
  <c r="B130" i="1"/>
  <c r="K129" i="1"/>
  <c r="J129" i="1"/>
  <c r="I129" i="1"/>
  <c r="H129" i="1"/>
  <c r="B129" i="1"/>
  <c r="K310" i="1"/>
  <c r="L310" i="1" s="1"/>
  <c r="J310" i="1"/>
  <c r="I310" i="1"/>
  <c r="H310" i="1"/>
  <c r="B310" i="1"/>
  <c r="K309" i="1"/>
  <c r="L309" i="1" s="1"/>
  <c r="J309" i="1"/>
  <c r="I309" i="1"/>
  <c r="H309" i="1"/>
  <c r="B309" i="1"/>
  <c r="K128" i="1"/>
  <c r="J128" i="1"/>
  <c r="I128" i="1"/>
  <c r="H128" i="1"/>
  <c r="B128" i="1"/>
  <c r="K308" i="1"/>
  <c r="J308" i="1"/>
  <c r="I308" i="1"/>
  <c r="H308" i="1"/>
  <c r="B308" i="1"/>
  <c r="K127" i="1"/>
  <c r="J127" i="1"/>
  <c r="I127" i="1"/>
  <c r="H127" i="1"/>
  <c r="B127" i="1"/>
  <c r="K307" i="1"/>
  <c r="L307" i="1" s="1"/>
  <c r="J307" i="1"/>
  <c r="I307" i="1"/>
  <c r="H307" i="1"/>
  <c r="B307" i="1"/>
  <c r="K306" i="1"/>
  <c r="L306" i="1" s="1"/>
  <c r="M306" i="1" s="1"/>
  <c r="J306" i="1"/>
  <c r="I306" i="1"/>
  <c r="H306" i="1"/>
  <c r="B306" i="1"/>
  <c r="K126" i="1"/>
  <c r="J126" i="1"/>
  <c r="I126" i="1"/>
  <c r="H126" i="1"/>
  <c r="B126" i="1"/>
  <c r="K305" i="1"/>
  <c r="J305" i="1"/>
  <c r="I305" i="1"/>
  <c r="H305" i="1"/>
  <c r="B305" i="1"/>
  <c r="K125" i="1"/>
  <c r="L125" i="1" s="1"/>
  <c r="J125" i="1"/>
  <c r="I125" i="1"/>
  <c r="H125" i="1"/>
  <c r="B125" i="1"/>
  <c r="K304" i="1"/>
  <c r="L304" i="1" s="1"/>
  <c r="M304" i="1" s="1"/>
  <c r="J304" i="1"/>
  <c r="I304" i="1"/>
  <c r="H304" i="1"/>
  <c r="B304" i="1"/>
  <c r="K303" i="1"/>
  <c r="J303" i="1"/>
  <c r="I303" i="1"/>
  <c r="H303" i="1"/>
  <c r="B303" i="1"/>
  <c r="K124" i="1"/>
  <c r="J124" i="1"/>
  <c r="I124" i="1"/>
  <c r="H124" i="1"/>
  <c r="B124" i="1"/>
  <c r="K302" i="1"/>
  <c r="L302" i="1" s="1"/>
  <c r="M302" i="1" s="1"/>
  <c r="J302" i="1"/>
  <c r="I302" i="1"/>
  <c r="H302" i="1"/>
  <c r="B302" i="1"/>
  <c r="K123" i="1"/>
  <c r="L123" i="1" s="1"/>
  <c r="J123" i="1"/>
  <c r="I123" i="1"/>
  <c r="H123" i="1"/>
  <c r="B123" i="1"/>
  <c r="K122" i="1"/>
  <c r="L122" i="1" s="1"/>
  <c r="J122" i="1"/>
  <c r="I122" i="1"/>
  <c r="H122" i="1"/>
  <c r="B122" i="1"/>
  <c r="K121" i="1"/>
  <c r="J121" i="1"/>
  <c r="I121" i="1"/>
  <c r="H121" i="1"/>
  <c r="B121" i="1"/>
  <c r="K301" i="1"/>
  <c r="L301" i="1" s="1"/>
  <c r="M301" i="1" s="1"/>
  <c r="J301" i="1"/>
  <c r="I301" i="1"/>
  <c r="H301" i="1"/>
  <c r="B301" i="1"/>
  <c r="K300" i="1"/>
  <c r="L300" i="1" s="1"/>
  <c r="M300" i="1" s="1"/>
  <c r="J300" i="1"/>
  <c r="I300" i="1"/>
  <c r="H300" i="1"/>
  <c r="B300" i="1"/>
  <c r="K120" i="1"/>
  <c r="L120" i="1" s="1"/>
  <c r="M120" i="1" s="1"/>
  <c r="J120" i="1"/>
  <c r="I120" i="1"/>
  <c r="H120" i="1"/>
  <c r="B120" i="1"/>
  <c r="K119" i="1"/>
  <c r="J119" i="1"/>
  <c r="I119" i="1"/>
  <c r="H119" i="1"/>
  <c r="B119" i="1"/>
  <c r="K299" i="1"/>
  <c r="L299" i="1" s="1"/>
  <c r="J299" i="1"/>
  <c r="I299" i="1"/>
  <c r="H299" i="1"/>
  <c r="B299" i="1"/>
  <c r="K118" i="1"/>
  <c r="J118" i="1"/>
  <c r="I118" i="1"/>
  <c r="H118" i="1"/>
  <c r="B118" i="1"/>
  <c r="K298" i="1"/>
  <c r="L298" i="1" s="1"/>
  <c r="J298" i="1"/>
  <c r="I298" i="1"/>
  <c r="H298" i="1"/>
  <c r="B298" i="1"/>
  <c r="K297" i="1"/>
  <c r="J297" i="1"/>
  <c r="I297" i="1"/>
  <c r="H297" i="1"/>
  <c r="B297" i="1"/>
  <c r="K117" i="1"/>
  <c r="L117" i="1" s="1"/>
  <c r="M117" i="1" s="1"/>
  <c r="J117" i="1"/>
  <c r="I117" i="1"/>
  <c r="H117" i="1"/>
  <c r="B117" i="1"/>
  <c r="K296" i="1"/>
  <c r="J296" i="1"/>
  <c r="I296" i="1"/>
  <c r="H296" i="1"/>
  <c r="B296" i="1"/>
  <c r="K116" i="1"/>
  <c r="J116" i="1"/>
  <c r="I116" i="1"/>
  <c r="H116" i="1"/>
  <c r="B116" i="1"/>
  <c r="K295" i="1"/>
  <c r="L295" i="1" s="1"/>
  <c r="M295" i="1" s="1"/>
  <c r="J295" i="1"/>
  <c r="I295" i="1"/>
  <c r="H295" i="1"/>
  <c r="B295" i="1"/>
  <c r="K294" i="1"/>
  <c r="J294" i="1"/>
  <c r="I294" i="1"/>
  <c r="H294" i="1"/>
  <c r="B294" i="1"/>
  <c r="K293" i="1"/>
  <c r="L293" i="1" s="1"/>
  <c r="M293" i="1" s="1"/>
  <c r="J293" i="1"/>
  <c r="I293" i="1"/>
  <c r="H293" i="1"/>
  <c r="B293" i="1"/>
  <c r="K115" i="1"/>
  <c r="L115" i="1" s="1"/>
  <c r="J115" i="1"/>
  <c r="I115" i="1"/>
  <c r="H115" i="1"/>
  <c r="B115" i="1"/>
  <c r="K114" i="1"/>
  <c r="J114" i="1"/>
  <c r="I114" i="1"/>
  <c r="H114" i="1"/>
  <c r="B114" i="1"/>
  <c r="K113" i="1"/>
  <c r="L113" i="1" s="1"/>
  <c r="J113" i="1"/>
  <c r="I113" i="1"/>
  <c r="H113" i="1"/>
  <c r="B113" i="1"/>
  <c r="K112" i="1"/>
  <c r="J112" i="1"/>
  <c r="I112" i="1"/>
  <c r="H112" i="1"/>
  <c r="B112" i="1"/>
  <c r="K292" i="1"/>
  <c r="J292" i="1"/>
  <c r="I292" i="1"/>
  <c r="H292" i="1"/>
  <c r="B292" i="1"/>
  <c r="K291" i="1"/>
  <c r="J291" i="1"/>
  <c r="I291" i="1"/>
  <c r="H291" i="1"/>
  <c r="B291" i="1"/>
  <c r="K290" i="1"/>
  <c r="L290" i="1" s="1"/>
  <c r="J290" i="1"/>
  <c r="I290" i="1"/>
  <c r="H290" i="1"/>
  <c r="B290" i="1"/>
  <c r="K111" i="1"/>
  <c r="L111" i="1" s="1"/>
  <c r="M111" i="1" s="1"/>
  <c r="J111" i="1"/>
  <c r="I111" i="1"/>
  <c r="H111" i="1"/>
  <c r="B111" i="1"/>
  <c r="K110" i="1"/>
  <c r="J110" i="1"/>
  <c r="I110" i="1"/>
  <c r="H110" i="1"/>
  <c r="B110" i="1"/>
  <c r="K289" i="1"/>
  <c r="L289" i="1" s="1"/>
  <c r="M289" i="1" s="1"/>
  <c r="J289" i="1"/>
  <c r="I289" i="1"/>
  <c r="H289" i="1"/>
  <c r="B289" i="1"/>
  <c r="K288" i="1"/>
  <c r="J288" i="1"/>
  <c r="I288" i="1"/>
  <c r="H288" i="1"/>
  <c r="B288" i="1"/>
  <c r="K109" i="1"/>
  <c r="L109" i="1" s="1"/>
  <c r="M109" i="1" s="1"/>
  <c r="J109" i="1"/>
  <c r="I109" i="1"/>
  <c r="H109" i="1"/>
  <c r="B109" i="1"/>
  <c r="K108" i="1"/>
  <c r="J108" i="1"/>
  <c r="I108" i="1"/>
  <c r="H108" i="1"/>
  <c r="B108" i="1"/>
  <c r="K287" i="1"/>
  <c r="L287" i="1" s="1"/>
  <c r="J287" i="1"/>
  <c r="I287" i="1"/>
  <c r="H287" i="1"/>
  <c r="B287" i="1"/>
  <c r="K107" i="1"/>
  <c r="L107" i="1" s="1"/>
  <c r="J107" i="1"/>
  <c r="I107" i="1"/>
  <c r="H107" i="1"/>
  <c r="B107" i="1"/>
  <c r="K286" i="1"/>
  <c r="J286" i="1"/>
  <c r="I286" i="1"/>
  <c r="H286" i="1"/>
  <c r="B286" i="1"/>
  <c r="K106" i="1"/>
  <c r="J106" i="1"/>
  <c r="I106" i="1"/>
  <c r="H106" i="1"/>
  <c r="B106" i="1"/>
  <c r="K285" i="1"/>
  <c r="J285" i="1"/>
  <c r="I285" i="1"/>
  <c r="H285" i="1"/>
  <c r="B285" i="1"/>
  <c r="K105" i="1"/>
  <c r="J105" i="1"/>
  <c r="I105" i="1"/>
  <c r="H105" i="1"/>
  <c r="B105" i="1"/>
  <c r="K284" i="1"/>
  <c r="J284" i="1"/>
  <c r="I284" i="1"/>
  <c r="H284" i="1"/>
  <c r="B284" i="1"/>
  <c r="K104" i="1"/>
  <c r="L104" i="1" s="1"/>
  <c r="M104" i="1" s="1"/>
  <c r="J104" i="1"/>
  <c r="I104" i="1"/>
  <c r="H104" i="1"/>
  <c r="B104" i="1"/>
  <c r="K103" i="1"/>
  <c r="J103" i="1"/>
  <c r="I103" i="1"/>
  <c r="H103" i="1"/>
  <c r="B103" i="1"/>
  <c r="K283" i="1"/>
  <c r="J283" i="1"/>
  <c r="I283" i="1"/>
  <c r="H283" i="1"/>
  <c r="B283" i="1"/>
  <c r="K102" i="1"/>
  <c r="L102" i="1" s="1"/>
  <c r="M102" i="1" s="1"/>
  <c r="J102" i="1"/>
  <c r="I102" i="1"/>
  <c r="H102" i="1"/>
  <c r="B102" i="1"/>
  <c r="K101" i="1"/>
  <c r="J101" i="1"/>
  <c r="I101" i="1"/>
  <c r="H101" i="1"/>
  <c r="B101" i="1"/>
  <c r="K282" i="1"/>
  <c r="J282" i="1"/>
  <c r="I282" i="1"/>
  <c r="H282" i="1"/>
  <c r="B282" i="1"/>
  <c r="K281" i="1"/>
  <c r="J281" i="1"/>
  <c r="I281" i="1"/>
  <c r="H281" i="1"/>
  <c r="B281" i="1"/>
  <c r="K280" i="1"/>
  <c r="L280" i="1" s="1"/>
  <c r="M280" i="1" s="1"/>
  <c r="J280" i="1"/>
  <c r="I280" i="1"/>
  <c r="H280" i="1"/>
  <c r="B280" i="1"/>
  <c r="K100" i="1"/>
  <c r="L100" i="1" s="1"/>
  <c r="J100" i="1"/>
  <c r="I100" i="1"/>
  <c r="H100" i="1"/>
  <c r="B100" i="1"/>
  <c r="K99" i="1"/>
  <c r="J99" i="1"/>
  <c r="I99" i="1"/>
  <c r="H99" i="1"/>
  <c r="B99" i="1"/>
  <c r="K98" i="1"/>
  <c r="L98" i="1" s="1"/>
  <c r="J98" i="1"/>
  <c r="I98" i="1"/>
  <c r="H98" i="1"/>
  <c r="B98" i="1"/>
  <c r="K279" i="1"/>
  <c r="J279" i="1"/>
  <c r="I279" i="1"/>
  <c r="H279" i="1"/>
  <c r="B279" i="1"/>
  <c r="K278" i="1"/>
  <c r="J278" i="1"/>
  <c r="I278" i="1"/>
  <c r="H278" i="1"/>
  <c r="B278" i="1"/>
  <c r="K97" i="1"/>
  <c r="L97" i="1" s="1"/>
  <c r="J97" i="1"/>
  <c r="I97" i="1"/>
  <c r="H97" i="1"/>
  <c r="B97" i="1"/>
  <c r="K277" i="1"/>
  <c r="L277" i="1" s="1"/>
  <c r="M277" i="1" s="1"/>
  <c r="J277" i="1"/>
  <c r="I277" i="1"/>
  <c r="H277" i="1"/>
  <c r="B277" i="1"/>
  <c r="K276" i="1"/>
  <c r="L276" i="1" s="1"/>
  <c r="M276" i="1" s="1"/>
  <c r="J276" i="1"/>
  <c r="I276" i="1"/>
  <c r="H276" i="1"/>
  <c r="B276" i="1"/>
  <c r="K96" i="1"/>
  <c r="J96" i="1"/>
  <c r="I96" i="1"/>
  <c r="H96" i="1"/>
  <c r="B96" i="1"/>
  <c r="K95" i="1"/>
  <c r="J95" i="1"/>
  <c r="I95" i="1"/>
  <c r="H95" i="1"/>
  <c r="B95" i="1"/>
  <c r="K275" i="1"/>
  <c r="L275" i="1" s="1"/>
  <c r="J275" i="1"/>
  <c r="I275" i="1"/>
  <c r="H275" i="1"/>
  <c r="B275" i="1"/>
  <c r="K94" i="1"/>
  <c r="L94" i="1" s="1"/>
  <c r="J94" i="1"/>
  <c r="I94" i="1"/>
  <c r="H94" i="1"/>
  <c r="B94" i="1"/>
  <c r="K274" i="1"/>
  <c r="L274" i="1" s="1"/>
  <c r="J274" i="1"/>
  <c r="I274" i="1"/>
  <c r="H274" i="1"/>
  <c r="B274" i="1"/>
  <c r="K273" i="1"/>
  <c r="L273" i="1" s="1"/>
  <c r="M273" i="1" s="1"/>
  <c r="J273" i="1"/>
  <c r="I273" i="1"/>
  <c r="H273" i="1"/>
  <c r="B273" i="1"/>
  <c r="K272" i="1"/>
  <c r="L272" i="1" s="1"/>
  <c r="J272" i="1"/>
  <c r="I272" i="1"/>
  <c r="H272" i="1"/>
  <c r="B272" i="1"/>
  <c r="K93" i="1"/>
  <c r="L93" i="1" s="1"/>
  <c r="M93" i="1" s="1"/>
  <c r="J93" i="1"/>
  <c r="I93" i="1"/>
  <c r="H93" i="1"/>
  <c r="B93" i="1"/>
  <c r="K92" i="1"/>
  <c r="L92" i="1" s="1"/>
  <c r="M92" i="1" s="1"/>
  <c r="J92" i="1"/>
  <c r="I92" i="1"/>
  <c r="H92" i="1"/>
  <c r="B92" i="1"/>
  <c r="K91" i="1"/>
  <c r="J91" i="1"/>
  <c r="I91" i="1"/>
  <c r="H91" i="1"/>
  <c r="B91" i="1"/>
  <c r="K271" i="1"/>
  <c r="L271" i="1" s="1"/>
  <c r="M271" i="1" s="1"/>
  <c r="J271" i="1"/>
  <c r="I271" i="1"/>
  <c r="H271" i="1"/>
  <c r="B271" i="1"/>
  <c r="K90" i="1"/>
  <c r="L90" i="1" s="1"/>
  <c r="M90" i="1" s="1"/>
  <c r="J90" i="1"/>
  <c r="I90" i="1"/>
  <c r="H90" i="1"/>
  <c r="B90" i="1"/>
  <c r="K89" i="1"/>
  <c r="J89" i="1"/>
  <c r="I89" i="1"/>
  <c r="H89" i="1"/>
  <c r="B89" i="1"/>
  <c r="K270" i="1"/>
  <c r="J270" i="1"/>
  <c r="I270" i="1"/>
  <c r="H270" i="1"/>
  <c r="B270" i="1"/>
  <c r="K269" i="1"/>
  <c r="L269" i="1" s="1"/>
  <c r="M269" i="1" s="1"/>
  <c r="J269" i="1"/>
  <c r="I269" i="1"/>
  <c r="H269" i="1"/>
  <c r="B269" i="1"/>
  <c r="K268" i="1"/>
  <c r="J268" i="1"/>
  <c r="I268" i="1"/>
  <c r="H268" i="1"/>
  <c r="B268" i="1"/>
  <c r="K88" i="1"/>
  <c r="L88" i="1" s="1"/>
  <c r="J88" i="1"/>
  <c r="I88" i="1"/>
  <c r="H88" i="1"/>
  <c r="B88" i="1"/>
  <c r="K267" i="1"/>
  <c r="J267" i="1"/>
  <c r="I267" i="1"/>
  <c r="H267" i="1"/>
  <c r="B267" i="1"/>
  <c r="K266" i="1"/>
  <c r="J266" i="1"/>
  <c r="I266" i="1"/>
  <c r="H266" i="1"/>
  <c r="B266" i="1"/>
  <c r="K87" i="1"/>
  <c r="J87" i="1"/>
  <c r="I87" i="1"/>
  <c r="H87" i="1"/>
  <c r="B87" i="1"/>
  <c r="K86" i="1"/>
  <c r="J86" i="1"/>
  <c r="I86" i="1"/>
  <c r="H86" i="1"/>
  <c r="B86" i="1"/>
  <c r="K265" i="1"/>
  <c r="L265" i="1" s="1"/>
  <c r="M265" i="1" s="1"/>
  <c r="J265" i="1"/>
  <c r="I265" i="1"/>
  <c r="H265" i="1"/>
  <c r="B265" i="1"/>
  <c r="K264" i="1"/>
  <c r="L264" i="1" s="1"/>
  <c r="J264" i="1"/>
  <c r="I264" i="1"/>
  <c r="H264" i="1"/>
  <c r="B264" i="1"/>
  <c r="K85" i="1"/>
  <c r="L85" i="1" s="1"/>
  <c r="M85" i="1" s="1"/>
  <c r="J85" i="1"/>
  <c r="I85" i="1"/>
  <c r="H85" i="1"/>
  <c r="B85" i="1"/>
  <c r="K263" i="1"/>
  <c r="L263" i="1" s="1"/>
  <c r="J263" i="1"/>
  <c r="I263" i="1"/>
  <c r="H263" i="1"/>
  <c r="B263" i="1"/>
  <c r="K84" i="1"/>
  <c r="J84" i="1"/>
  <c r="I84" i="1"/>
  <c r="H84" i="1"/>
  <c r="B84" i="1"/>
  <c r="K83" i="1"/>
  <c r="J83" i="1"/>
  <c r="I83" i="1"/>
  <c r="H83" i="1"/>
  <c r="B83" i="1"/>
  <c r="K262" i="1"/>
  <c r="L262" i="1" s="1"/>
  <c r="M262" i="1" s="1"/>
  <c r="J262" i="1"/>
  <c r="I262" i="1"/>
  <c r="H262" i="1"/>
  <c r="B262" i="1"/>
  <c r="K82" i="1"/>
  <c r="L82" i="1" s="1"/>
  <c r="M82" i="1" s="1"/>
  <c r="J82" i="1"/>
  <c r="I82" i="1"/>
  <c r="H82" i="1"/>
  <c r="B82" i="1"/>
  <c r="K81" i="1"/>
  <c r="L81" i="1" s="1"/>
  <c r="M81" i="1" s="1"/>
  <c r="J81" i="1"/>
  <c r="I81" i="1"/>
  <c r="H81" i="1"/>
  <c r="B81" i="1"/>
  <c r="K80" i="1"/>
  <c r="L80" i="1" s="1"/>
  <c r="J80" i="1"/>
  <c r="I80" i="1"/>
  <c r="H80" i="1"/>
  <c r="B80" i="1"/>
  <c r="K261" i="1"/>
  <c r="L261" i="1" s="1"/>
  <c r="J261" i="1"/>
  <c r="I261" i="1"/>
  <c r="H261" i="1"/>
  <c r="B261" i="1"/>
  <c r="K260" i="1"/>
  <c r="J260" i="1"/>
  <c r="I260" i="1"/>
  <c r="H260" i="1"/>
  <c r="B260" i="1"/>
  <c r="K259" i="1"/>
  <c r="L259" i="1" s="1"/>
  <c r="M259" i="1" s="1"/>
  <c r="J259" i="1"/>
  <c r="I259" i="1"/>
  <c r="H259" i="1"/>
  <c r="B259" i="1"/>
  <c r="K79" i="1"/>
  <c r="J79" i="1"/>
  <c r="I79" i="1"/>
  <c r="H79" i="1"/>
  <c r="B79" i="1"/>
  <c r="K78" i="1"/>
  <c r="L78" i="1" s="1"/>
  <c r="J78" i="1"/>
  <c r="I78" i="1"/>
  <c r="H78" i="1"/>
  <c r="B78" i="1"/>
  <c r="K77" i="1"/>
  <c r="J77" i="1"/>
  <c r="I77" i="1"/>
  <c r="H77" i="1"/>
  <c r="B77" i="1"/>
  <c r="K258" i="1"/>
  <c r="J258" i="1"/>
  <c r="I258" i="1"/>
  <c r="H258" i="1"/>
  <c r="B258" i="1"/>
  <c r="K257" i="1"/>
  <c r="J257" i="1"/>
  <c r="I257" i="1"/>
  <c r="H257" i="1"/>
  <c r="B257" i="1"/>
  <c r="K256" i="1"/>
  <c r="J256" i="1"/>
  <c r="I256" i="1"/>
  <c r="H256" i="1"/>
  <c r="B256" i="1"/>
  <c r="K76" i="1"/>
  <c r="J76" i="1"/>
  <c r="I76" i="1"/>
  <c r="H76" i="1"/>
  <c r="B76" i="1"/>
  <c r="K255" i="1"/>
  <c r="L255" i="1" s="1"/>
  <c r="J255" i="1"/>
  <c r="I255" i="1"/>
  <c r="H255" i="1"/>
  <c r="B255" i="1"/>
  <c r="K75" i="1"/>
  <c r="L75" i="1" s="1"/>
  <c r="J75" i="1"/>
  <c r="I75" i="1"/>
  <c r="H75" i="1"/>
  <c r="B75" i="1"/>
  <c r="K254" i="1"/>
  <c r="J254" i="1"/>
  <c r="I254" i="1"/>
  <c r="H254" i="1"/>
  <c r="B254" i="1"/>
  <c r="K74" i="1"/>
  <c r="J74" i="1"/>
  <c r="I74" i="1"/>
  <c r="H74" i="1"/>
  <c r="B74" i="1"/>
  <c r="K253" i="1"/>
  <c r="J253" i="1"/>
  <c r="I253" i="1"/>
  <c r="H253" i="1"/>
  <c r="B253" i="1"/>
  <c r="K73" i="1"/>
  <c r="J73" i="1"/>
  <c r="I73" i="1"/>
  <c r="H73" i="1"/>
  <c r="B73" i="1"/>
  <c r="K252" i="1"/>
  <c r="L252" i="1" s="1"/>
  <c r="M252" i="1" s="1"/>
  <c r="J252" i="1"/>
  <c r="I252" i="1"/>
  <c r="H252" i="1"/>
  <c r="B252" i="1"/>
  <c r="K251" i="1"/>
  <c r="L251" i="1" s="1"/>
  <c r="M251" i="1" s="1"/>
  <c r="J251" i="1"/>
  <c r="I251" i="1"/>
  <c r="H251" i="1"/>
  <c r="B251" i="1"/>
  <c r="K72" i="1"/>
  <c r="L72" i="1" s="1"/>
  <c r="J72" i="1"/>
  <c r="I72" i="1"/>
  <c r="H72" i="1"/>
  <c r="B72" i="1"/>
  <c r="K71" i="1"/>
  <c r="J71" i="1"/>
  <c r="I71" i="1"/>
  <c r="H71" i="1"/>
  <c r="B71" i="1"/>
  <c r="K70" i="1"/>
  <c r="J70" i="1"/>
  <c r="I70" i="1"/>
  <c r="H70" i="1"/>
  <c r="B70" i="1"/>
  <c r="K250" i="1"/>
  <c r="J250" i="1"/>
  <c r="I250" i="1"/>
  <c r="H250" i="1"/>
  <c r="B250" i="1"/>
  <c r="K69" i="1"/>
  <c r="J69" i="1"/>
  <c r="I69" i="1"/>
  <c r="H69" i="1"/>
  <c r="B69" i="1"/>
  <c r="K68" i="1"/>
  <c r="L68" i="1" s="1"/>
  <c r="J68" i="1"/>
  <c r="I68" i="1"/>
  <c r="H68" i="1"/>
  <c r="B68" i="1"/>
  <c r="K249" i="1"/>
  <c r="J249" i="1"/>
  <c r="I249" i="1"/>
  <c r="H249" i="1"/>
  <c r="B249" i="1"/>
  <c r="K248" i="1"/>
  <c r="L248" i="1" s="1"/>
  <c r="M248" i="1" s="1"/>
  <c r="J248" i="1"/>
  <c r="I248" i="1"/>
  <c r="H248" i="1"/>
  <c r="B248" i="1"/>
  <c r="K67" i="1"/>
  <c r="J67" i="1"/>
  <c r="I67" i="1"/>
  <c r="H67" i="1"/>
  <c r="B67" i="1"/>
  <c r="K66" i="1"/>
  <c r="J66" i="1"/>
  <c r="I66" i="1"/>
  <c r="H66" i="1"/>
  <c r="B66" i="1"/>
  <c r="K247" i="1"/>
  <c r="L247" i="1" s="1"/>
  <c r="M247" i="1" s="1"/>
  <c r="J247" i="1"/>
  <c r="I247" i="1"/>
  <c r="H247" i="1"/>
  <c r="B247" i="1"/>
  <c r="K246" i="1"/>
  <c r="J246" i="1"/>
  <c r="I246" i="1"/>
  <c r="H246" i="1"/>
  <c r="B246" i="1"/>
  <c r="K65" i="1"/>
  <c r="J65" i="1"/>
  <c r="I65" i="1"/>
  <c r="H65" i="1"/>
  <c r="B65" i="1"/>
  <c r="K245" i="1"/>
  <c r="J245" i="1"/>
  <c r="I245" i="1"/>
  <c r="H245" i="1"/>
  <c r="B245" i="1"/>
  <c r="K64" i="1"/>
  <c r="L64" i="1" s="1"/>
  <c r="M64" i="1" s="1"/>
  <c r="J64" i="1"/>
  <c r="I64" i="1"/>
  <c r="H64" i="1"/>
  <c r="B64" i="1"/>
  <c r="K63" i="1"/>
  <c r="J63" i="1"/>
  <c r="I63" i="1"/>
  <c r="H63" i="1"/>
  <c r="B63" i="1"/>
  <c r="K244" i="1"/>
  <c r="J244" i="1"/>
  <c r="I244" i="1"/>
  <c r="H244" i="1"/>
  <c r="B244" i="1"/>
  <c r="K243" i="1"/>
  <c r="L243" i="1" s="1"/>
  <c r="J243" i="1"/>
  <c r="I243" i="1"/>
  <c r="H243" i="1"/>
  <c r="B243" i="1"/>
  <c r="K62" i="1"/>
  <c r="J62" i="1"/>
  <c r="I62" i="1"/>
  <c r="H62" i="1"/>
  <c r="B62" i="1"/>
  <c r="K242" i="1"/>
  <c r="J242" i="1"/>
  <c r="I242" i="1"/>
  <c r="H242" i="1"/>
  <c r="B242" i="1"/>
  <c r="K61" i="1"/>
  <c r="J61" i="1"/>
  <c r="I61" i="1"/>
  <c r="H61" i="1"/>
  <c r="B61" i="1"/>
  <c r="K241" i="1"/>
  <c r="L241" i="1" s="1"/>
  <c r="M241" i="1" s="1"/>
  <c r="J241" i="1"/>
  <c r="I241" i="1"/>
  <c r="H241" i="1"/>
  <c r="B241" i="1"/>
  <c r="K240" i="1"/>
  <c r="L240" i="1" s="1"/>
  <c r="J240" i="1"/>
  <c r="I240" i="1"/>
  <c r="H240" i="1"/>
  <c r="B240" i="1"/>
  <c r="K60" i="1"/>
  <c r="J60" i="1"/>
  <c r="I60" i="1"/>
  <c r="H60" i="1"/>
  <c r="B60" i="1"/>
  <c r="K239" i="1"/>
  <c r="L239" i="1" s="1"/>
  <c r="J239" i="1"/>
  <c r="I239" i="1"/>
  <c r="H239" i="1"/>
  <c r="B239" i="1"/>
  <c r="K59" i="1"/>
  <c r="J59" i="1"/>
  <c r="I59" i="1"/>
  <c r="H59" i="1"/>
  <c r="B59" i="1"/>
  <c r="K238" i="1"/>
  <c r="L238" i="1" s="1"/>
  <c r="M238" i="1" s="1"/>
  <c r="J238" i="1"/>
  <c r="I238" i="1"/>
  <c r="H238" i="1"/>
  <c r="B238" i="1"/>
  <c r="K237" i="1"/>
  <c r="J237" i="1"/>
  <c r="I237" i="1"/>
  <c r="H237" i="1"/>
  <c r="B237" i="1"/>
  <c r="K58" i="1"/>
  <c r="L58" i="1" s="1"/>
  <c r="M58" i="1" s="1"/>
  <c r="J58" i="1"/>
  <c r="I58" i="1"/>
  <c r="H58" i="1"/>
  <c r="B58" i="1"/>
  <c r="K57" i="1"/>
  <c r="L57" i="1" s="1"/>
  <c r="J57" i="1"/>
  <c r="I57" i="1"/>
  <c r="H57" i="1"/>
  <c r="B57" i="1"/>
  <c r="K56" i="1"/>
  <c r="L56" i="1" s="1"/>
  <c r="M56" i="1" s="1"/>
  <c r="J56" i="1"/>
  <c r="I56" i="1"/>
  <c r="H56" i="1"/>
  <c r="B56" i="1"/>
  <c r="K236" i="1"/>
  <c r="J236" i="1"/>
  <c r="I236" i="1"/>
  <c r="H236" i="1"/>
  <c r="B236" i="1"/>
  <c r="K235" i="1"/>
  <c r="J235" i="1"/>
  <c r="I235" i="1"/>
  <c r="H235" i="1"/>
  <c r="B235" i="1"/>
  <c r="K55" i="1"/>
  <c r="J55" i="1"/>
  <c r="I55" i="1"/>
  <c r="H55" i="1"/>
  <c r="B55" i="1"/>
  <c r="K234" i="1"/>
  <c r="L234" i="1" s="1"/>
  <c r="M234" i="1" s="1"/>
  <c r="J234" i="1"/>
  <c r="I234" i="1"/>
  <c r="H234" i="1"/>
  <c r="B234" i="1"/>
  <c r="K54" i="1"/>
  <c r="L54" i="1" s="1"/>
  <c r="M54" i="1" s="1"/>
  <c r="J54" i="1"/>
  <c r="I54" i="1"/>
  <c r="H54" i="1"/>
  <c r="B54" i="1"/>
  <c r="K53" i="1"/>
  <c r="J53" i="1"/>
  <c r="I53" i="1"/>
  <c r="H53" i="1"/>
  <c r="B53" i="1"/>
  <c r="K233" i="1"/>
  <c r="L233" i="1" s="1"/>
  <c r="M233" i="1" s="1"/>
  <c r="J233" i="1"/>
  <c r="I233" i="1"/>
  <c r="H233" i="1"/>
  <c r="B233" i="1"/>
  <c r="K232" i="1"/>
  <c r="J232" i="1"/>
  <c r="I232" i="1"/>
  <c r="H232" i="1"/>
  <c r="B232" i="1"/>
  <c r="K52" i="1"/>
  <c r="J52" i="1"/>
  <c r="I52" i="1"/>
  <c r="H52" i="1"/>
  <c r="B52" i="1"/>
  <c r="K51" i="1"/>
  <c r="L51" i="1" s="1"/>
  <c r="J51" i="1"/>
  <c r="I51" i="1"/>
  <c r="H51" i="1"/>
  <c r="B51" i="1"/>
  <c r="K231" i="1"/>
  <c r="L231" i="1" s="1"/>
  <c r="J231" i="1"/>
  <c r="I231" i="1"/>
  <c r="H231" i="1"/>
  <c r="B231" i="1"/>
  <c r="K50" i="1"/>
  <c r="J50" i="1"/>
  <c r="I50" i="1"/>
  <c r="H50" i="1"/>
  <c r="B50" i="1"/>
  <c r="K230" i="1"/>
  <c r="J230" i="1"/>
  <c r="I230" i="1"/>
  <c r="H230" i="1"/>
  <c r="B230" i="1"/>
  <c r="K49" i="1"/>
  <c r="L49" i="1" s="1"/>
  <c r="M49" i="1" s="1"/>
  <c r="J49" i="1"/>
  <c r="I49" i="1"/>
  <c r="H49" i="1"/>
  <c r="B49" i="1"/>
  <c r="K229" i="1"/>
  <c r="J229" i="1"/>
  <c r="I229" i="1"/>
  <c r="H229" i="1"/>
  <c r="B229" i="1"/>
  <c r="K228" i="1"/>
  <c r="L228" i="1" s="1"/>
  <c r="M228" i="1" s="1"/>
  <c r="J228" i="1"/>
  <c r="I228" i="1"/>
  <c r="H228" i="1"/>
  <c r="B228" i="1"/>
  <c r="K48" i="1"/>
  <c r="L48" i="1" s="1"/>
  <c r="J48" i="1"/>
  <c r="I48" i="1"/>
  <c r="H48" i="1"/>
  <c r="B48" i="1"/>
  <c r="K227" i="1"/>
  <c r="J227" i="1"/>
  <c r="I227" i="1"/>
  <c r="H227" i="1"/>
  <c r="B227" i="1"/>
  <c r="K47" i="1"/>
  <c r="J47" i="1"/>
  <c r="I47" i="1"/>
  <c r="H47" i="1"/>
  <c r="B47" i="1"/>
  <c r="K46" i="1"/>
  <c r="L46" i="1" s="1"/>
  <c r="M46" i="1" s="1"/>
  <c r="J46" i="1"/>
  <c r="I46" i="1"/>
  <c r="H46" i="1"/>
  <c r="B46" i="1"/>
  <c r="K45" i="1"/>
  <c r="L45" i="1" s="1"/>
  <c r="M45" i="1" s="1"/>
  <c r="J45" i="1"/>
  <c r="I45" i="1"/>
  <c r="H45" i="1"/>
  <c r="B45" i="1"/>
  <c r="K226" i="1"/>
  <c r="L226" i="1" s="1"/>
  <c r="M226" i="1" s="1"/>
  <c r="J226" i="1"/>
  <c r="I226" i="1"/>
  <c r="H226" i="1"/>
  <c r="B226" i="1"/>
  <c r="K225" i="1"/>
  <c r="L225" i="1" s="1"/>
  <c r="J225" i="1"/>
  <c r="I225" i="1"/>
  <c r="H225" i="1"/>
  <c r="B225" i="1"/>
  <c r="K224" i="1"/>
  <c r="L224" i="1" s="1"/>
  <c r="J224" i="1"/>
  <c r="I224" i="1"/>
  <c r="H224" i="1"/>
  <c r="B224" i="1"/>
  <c r="K44" i="1"/>
  <c r="J44" i="1"/>
  <c r="I44" i="1"/>
  <c r="H44" i="1"/>
  <c r="B44" i="1"/>
  <c r="K223" i="1"/>
  <c r="J223" i="1"/>
  <c r="I223" i="1"/>
  <c r="H223" i="1"/>
  <c r="B223" i="1"/>
  <c r="K43" i="1"/>
  <c r="J43" i="1"/>
  <c r="I43" i="1"/>
  <c r="H43" i="1"/>
  <c r="B43" i="1"/>
  <c r="K42" i="1"/>
  <c r="J42" i="1"/>
  <c r="I42" i="1"/>
  <c r="H42" i="1"/>
  <c r="B42" i="1"/>
  <c r="K41" i="1"/>
  <c r="J41" i="1"/>
  <c r="I41" i="1"/>
  <c r="H41" i="1"/>
  <c r="B41" i="1"/>
  <c r="K222" i="1"/>
  <c r="J222" i="1"/>
  <c r="I222" i="1"/>
  <c r="H222" i="1"/>
  <c r="B222" i="1"/>
  <c r="K221" i="1"/>
  <c r="J221" i="1"/>
  <c r="I221" i="1"/>
  <c r="H221" i="1"/>
  <c r="B221" i="1"/>
  <c r="K40" i="1"/>
  <c r="J40" i="1"/>
  <c r="I40" i="1"/>
  <c r="H40" i="1"/>
  <c r="B40" i="1"/>
  <c r="K220" i="1"/>
  <c r="L220" i="1" s="1"/>
  <c r="M220" i="1" s="1"/>
  <c r="J220" i="1"/>
  <c r="I220" i="1"/>
  <c r="H220" i="1"/>
  <c r="B220" i="1"/>
  <c r="K39" i="1"/>
  <c r="J39" i="1"/>
  <c r="I39" i="1"/>
  <c r="H39" i="1"/>
  <c r="B39" i="1"/>
  <c r="K219" i="1"/>
  <c r="L219" i="1" s="1"/>
  <c r="J219" i="1"/>
  <c r="I219" i="1"/>
  <c r="H219" i="1"/>
  <c r="B219" i="1"/>
  <c r="K218" i="1"/>
  <c r="L218" i="1" s="1"/>
  <c r="J218" i="1"/>
  <c r="I218" i="1"/>
  <c r="H218" i="1"/>
  <c r="B218" i="1"/>
  <c r="K38" i="1"/>
  <c r="J38" i="1"/>
  <c r="I38" i="1"/>
  <c r="H38" i="1"/>
  <c r="B38" i="1"/>
  <c r="K37" i="1"/>
  <c r="J37" i="1"/>
  <c r="I37" i="1"/>
  <c r="H37" i="1"/>
  <c r="B37" i="1"/>
  <c r="K217" i="1"/>
  <c r="J217" i="1"/>
  <c r="I217" i="1"/>
  <c r="H217" i="1"/>
  <c r="B217" i="1"/>
  <c r="K216" i="1"/>
  <c r="L216" i="1" s="1"/>
  <c r="M216" i="1" s="1"/>
  <c r="J216" i="1"/>
  <c r="I216" i="1"/>
  <c r="H216" i="1"/>
  <c r="B216" i="1"/>
  <c r="K36" i="1"/>
  <c r="L36" i="1" s="1"/>
  <c r="J36" i="1"/>
  <c r="I36" i="1"/>
  <c r="H36" i="1"/>
  <c r="B36" i="1"/>
  <c r="K215" i="1"/>
  <c r="L215" i="1" s="1"/>
  <c r="J215" i="1"/>
  <c r="I215" i="1"/>
  <c r="H215" i="1"/>
  <c r="B215" i="1"/>
  <c r="K35" i="1"/>
  <c r="J35" i="1"/>
  <c r="I35" i="1"/>
  <c r="H35" i="1"/>
  <c r="B35" i="1"/>
  <c r="K214" i="1"/>
  <c r="J214" i="1"/>
  <c r="I214" i="1"/>
  <c r="H214" i="1"/>
  <c r="B214" i="1"/>
  <c r="K34" i="1"/>
  <c r="L34" i="1" s="1"/>
  <c r="J34" i="1"/>
  <c r="I34" i="1"/>
  <c r="H34" i="1"/>
  <c r="B34" i="1"/>
  <c r="K33" i="1"/>
  <c r="J33" i="1"/>
  <c r="I33" i="1"/>
  <c r="H33" i="1"/>
  <c r="B33" i="1"/>
  <c r="K213" i="1"/>
  <c r="L213" i="1" s="1"/>
  <c r="J213" i="1"/>
  <c r="I213" i="1"/>
  <c r="H213" i="1"/>
  <c r="B213" i="1"/>
  <c r="K212" i="1"/>
  <c r="L212" i="1" s="1"/>
  <c r="M212" i="1" s="1"/>
  <c r="J212" i="1"/>
  <c r="I212" i="1"/>
  <c r="H212" i="1"/>
  <c r="B212" i="1"/>
  <c r="K32" i="1"/>
  <c r="L32" i="1" s="1"/>
  <c r="M32" i="1" s="1"/>
  <c r="J32" i="1"/>
  <c r="I32" i="1"/>
  <c r="H32" i="1"/>
  <c r="B32" i="1"/>
  <c r="K211" i="1"/>
  <c r="J211" i="1"/>
  <c r="I211" i="1"/>
  <c r="H211" i="1"/>
  <c r="B211" i="1"/>
  <c r="K31" i="1"/>
  <c r="J31" i="1"/>
  <c r="I31" i="1"/>
  <c r="H31" i="1"/>
  <c r="B31" i="1"/>
  <c r="K30" i="1"/>
  <c r="L30" i="1" s="1"/>
  <c r="M30" i="1" s="1"/>
  <c r="J30" i="1"/>
  <c r="I30" i="1"/>
  <c r="H30" i="1"/>
  <c r="B30" i="1"/>
  <c r="K210" i="1"/>
  <c r="J210" i="1"/>
  <c r="I210" i="1"/>
  <c r="H210" i="1"/>
  <c r="B210" i="1"/>
  <c r="K29" i="1"/>
  <c r="J29" i="1"/>
  <c r="I29" i="1"/>
  <c r="H29" i="1"/>
  <c r="B29" i="1"/>
  <c r="K209" i="1"/>
  <c r="L209" i="1" s="1"/>
  <c r="J209" i="1"/>
  <c r="I209" i="1"/>
  <c r="H209" i="1"/>
  <c r="B209" i="1"/>
  <c r="K208" i="1"/>
  <c r="L208" i="1" s="1"/>
  <c r="M208" i="1" s="1"/>
  <c r="J208" i="1"/>
  <c r="I208" i="1"/>
  <c r="H208" i="1"/>
  <c r="B208" i="1"/>
  <c r="K28" i="1"/>
  <c r="L28" i="1" s="1"/>
  <c r="M28" i="1" s="1"/>
  <c r="J28" i="1"/>
  <c r="I28" i="1"/>
  <c r="H28" i="1"/>
  <c r="B28" i="1"/>
  <c r="K27" i="1"/>
  <c r="J27" i="1"/>
  <c r="I27" i="1"/>
  <c r="H27" i="1"/>
  <c r="B27" i="1"/>
  <c r="K207" i="1"/>
  <c r="L207" i="1" s="1"/>
  <c r="J207" i="1"/>
  <c r="I207" i="1"/>
  <c r="H207" i="1"/>
  <c r="B207" i="1"/>
  <c r="K206" i="1"/>
  <c r="J206" i="1"/>
  <c r="I206" i="1"/>
  <c r="H206" i="1"/>
  <c r="B206" i="1"/>
  <c r="K26" i="1"/>
  <c r="J26" i="1"/>
  <c r="I26" i="1"/>
  <c r="H26" i="1"/>
  <c r="B26" i="1"/>
  <c r="K25" i="1"/>
  <c r="J25" i="1"/>
  <c r="I25" i="1"/>
  <c r="H25" i="1"/>
  <c r="B25" i="1"/>
  <c r="K24" i="1"/>
  <c r="L24" i="1" s="1"/>
  <c r="M24" i="1" s="1"/>
  <c r="J24" i="1"/>
  <c r="I24" i="1"/>
  <c r="H24" i="1"/>
  <c r="B24" i="1"/>
  <c r="K205" i="1"/>
  <c r="L205" i="1" s="1"/>
  <c r="M205" i="1" s="1"/>
  <c r="J205" i="1"/>
  <c r="I205" i="1"/>
  <c r="H205" i="1"/>
  <c r="B205" i="1"/>
  <c r="K204" i="1"/>
  <c r="J204" i="1"/>
  <c r="I204" i="1"/>
  <c r="H204" i="1"/>
  <c r="B204" i="1"/>
  <c r="K23" i="1"/>
  <c r="J23" i="1"/>
  <c r="I23" i="1"/>
  <c r="H23" i="1"/>
  <c r="B23" i="1"/>
  <c r="K203" i="1"/>
  <c r="J203" i="1"/>
  <c r="I203" i="1"/>
  <c r="H203" i="1"/>
  <c r="B203" i="1"/>
  <c r="K202" i="1"/>
  <c r="J202" i="1"/>
  <c r="I202" i="1"/>
  <c r="H202" i="1"/>
  <c r="B202" i="1"/>
  <c r="K201" i="1"/>
  <c r="L201" i="1" s="1"/>
  <c r="M201" i="1" s="1"/>
  <c r="J201" i="1"/>
  <c r="I201" i="1"/>
  <c r="H201" i="1"/>
  <c r="B201" i="1"/>
  <c r="K22" i="1"/>
  <c r="L22" i="1" s="1"/>
  <c r="M22" i="1" s="1"/>
  <c r="J22" i="1"/>
  <c r="I22" i="1"/>
  <c r="H22" i="1"/>
  <c r="B22" i="1"/>
  <c r="K21" i="1"/>
  <c r="L21" i="1" s="1"/>
  <c r="J21" i="1"/>
  <c r="I21" i="1"/>
  <c r="H21" i="1"/>
  <c r="B21" i="1"/>
  <c r="K20" i="1"/>
  <c r="L20" i="1" s="1"/>
  <c r="J20" i="1"/>
  <c r="I20" i="1"/>
  <c r="H20" i="1"/>
  <c r="B20" i="1"/>
  <c r="K200" i="1"/>
  <c r="L200" i="1" s="1"/>
  <c r="J200" i="1"/>
  <c r="I200" i="1"/>
  <c r="H200" i="1"/>
  <c r="B200" i="1"/>
  <c r="K19" i="1"/>
  <c r="J19" i="1"/>
  <c r="I19" i="1"/>
  <c r="H19" i="1"/>
  <c r="B19" i="1"/>
  <c r="K199" i="1"/>
  <c r="L199" i="1" s="1"/>
  <c r="J199" i="1"/>
  <c r="I199" i="1"/>
  <c r="H199" i="1"/>
  <c r="B199" i="1"/>
  <c r="K18" i="1"/>
  <c r="L18" i="1" s="1"/>
  <c r="M18" i="1" s="1"/>
  <c r="J18" i="1"/>
  <c r="I18" i="1"/>
  <c r="H18" i="1"/>
  <c r="B18" i="1"/>
  <c r="K198" i="1"/>
  <c r="L198" i="1" s="1"/>
  <c r="M198" i="1" s="1"/>
  <c r="J198" i="1"/>
  <c r="I198" i="1"/>
  <c r="H198" i="1"/>
  <c r="B198" i="1"/>
  <c r="K17" i="1"/>
  <c r="J17" i="1"/>
  <c r="I17" i="1"/>
  <c r="H17" i="1"/>
  <c r="B17" i="1"/>
  <c r="K197" i="1"/>
  <c r="L197" i="1" s="1"/>
  <c r="M197" i="1" s="1"/>
  <c r="J197" i="1"/>
  <c r="I197" i="1"/>
  <c r="H197" i="1"/>
  <c r="B197" i="1"/>
  <c r="K196" i="1"/>
  <c r="L196" i="1" s="1"/>
  <c r="M196" i="1" s="1"/>
  <c r="J196" i="1"/>
  <c r="I196" i="1"/>
  <c r="H196" i="1"/>
  <c r="B196" i="1"/>
  <c r="K195" i="1"/>
  <c r="J195" i="1"/>
  <c r="I195" i="1"/>
  <c r="H195" i="1"/>
  <c r="B195" i="1"/>
  <c r="K194" i="1"/>
  <c r="L194" i="1" s="1"/>
  <c r="M194" i="1" s="1"/>
  <c r="J194" i="1"/>
  <c r="I194" i="1"/>
  <c r="H194" i="1"/>
  <c r="B194" i="1"/>
  <c r="K16" i="1"/>
  <c r="L16" i="1" s="1"/>
  <c r="J16" i="1"/>
  <c r="I16" i="1"/>
  <c r="H16" i="1"/>
  <c r="B16" i="1"/>
  <c r="K15" i="1"/>
  <c r="L15" i="1" s="1"/>
  <c r="M15" i="1" s="1"/>
  <c r="J15" i="1"/>
  <c r="I15" i="1"/>
  <c r="H15" i="1"/>
  <c r="B15" i="1"/>
  <c r="K14" i="1"/>
  <c r="J14" i="1"/>
  <c r="I14" i="1"/>
  <c r="H14" i="1"/>
  <c r="B14" i="1"/>
  <c r="K193" i="1"/>
  <c r="L193" i="1" s="1"/>
  <c r="M193" i="1" s="1"/>
  <c r="J193" i="1"/>
  <c r="I193" i="1"/>
  <c r="H193" i="1"/>
  <c r="B193" i="1"/>
  <c r="K13" i="1"/>
  <c r="L13" i="1" s="1"/>
  <c r="J13" i="1"/>
  <c r="I13" i="1"/>
  <c r="H13" i="1"/>
  <c r="B13" i="1"/>
  <c r="K192" i="1"/>
  <c r="L192" i="1" s="1"/>
  <c r="M192" i="1" s="1"/>
  <c r="J192" i="1"/>
  <c r="I192" i="1"/>
  <c r="H192" i="1"/>
  <c r="B192" i="1"/>
  <c r="K12" i="1"/>
  <c r="J12" i="1"/>
  <c r="I12" i="1"/>
  <c r="H12" i="1"/>
  <c r="B12" i="1"/>
  <c r="K11" i="1"/>
  <c r="J11" i="1"/>
  <c r="I11" i="1"/>
  <c r="H11" i="1"/>
  <c r="B11" i="1"/>
  <c r="K191" i="1"/>
  <c r="L191" i="1" s="1"/>
  <c r="J191" i="1"/>
  <c r="I191" i="1"/>
  <c r="H191" i="1"/>
  <c r="B191" i="1"/>
  <c r="K190" i="1"/>
  <c r="J190" i="1"/>
  <c r="I190" i="1"/>
  <c r="H190" i="1"/>
  <c r="B190" i="1"/>
  <c r="K189" i="1"/>
  <c r="L189" i="1" s="1"/>
  <c r="J189" i="1"/>
  <c r="I189" i="1"/>
  <c r="H189" i="1"/>
  <c r="B189" i="1"/>
  <c r="K10" i="1"/>
  <c r="L10" i="1" s="1"/>
  <c r="J10" i="1"/>
  <c r="I10" i="1"/>
  <c r="H10" i="1"/>
  <c r="B10" i="1"/>
  <c r="K9" i="1"/>
  <c r="L9" i="1" s="1"/>
  <c r="J9" i="1"/>
  <c r="I9" i="1"/>
  <c r="H9" i="1"/>
  <c r="B9" i="1"/>
  <c r="K188" i="1"/>
  <c r="L188" i="1" s="1"/>
  <c r="J188" i="1"/>
  <c r="I188" i="1"/>
  <c r="H188" i="1"/>
  <c r="B188" i="1"/>
  <c r="K8" i="1"/>
  <c r="J8" i="1"/>
  <c r="I8" i="1"/>
  <c r="H8" i="1"/>
  <c r="B8" i="1"/>
  <c r="K187" i="1"/>
  <c r="J187" i="1"/>
  <c r="I187" i="1"/>
  <c r="H187" i="1"/>
  <c r="B187" i="1"/>
  <c r="K186" i="1"/>
  <c r="J186" i="1"/>
  <c r="I186" i="1"/>
  <c r="H186" i="1"/>
  <c r="B186" i="1"/>
  <c r="K185" i="1"/>
  <c r="L185" i="1" s="1"/>
  <c r="J185" i="1"/>
  <c r="I185" i="1"/>
  <c r="H185" i="1"/>
  <c r="B185" i="1"/>
  <c r="K7" i="1"/>
  <c r="J7" i="1"/>
  <c r="I7" i="1"/>
  <c r="H7" i="1"/>
  <c r="B7" i="1"/>
  <c r="K6" i="1"/>
  <c r="L6" i="1" s="1"/>
  <c r="J6" i="1"/>
  <c r="I6" i="1"/>
  <c r="H6" i="1"/>
  <c r="B6" i="1"/>
  <c r="K5" i="1"/>
  <c r="J5" i="1"/>
  <c r="I5" i="1"/>
  <c r="H5" i="1"/>
  <c r="B5" i="1"/>
  <c r="K184" i="1"/>
  <c r="J184" i="1"/>
  <c r="I184" i="1"/>
  <c r="H184" i="1"/>
  <c r="B184" i="1"/>
  <c r="K183" i="1"/>
  <c r="J183" i="1"/>
  <c r="I183" i="1"/>
  <c r="H183" i="1"/>
  <c r="B183" i="1"/>
  <c r="K4" i="1"/>
  <c r="L4" i="1" s="1"/>
  <c r="M4" i="1" s="1"/>
  <c r="J4" i="1"/>
  <c r="I4" i="1"/>
  <c r="H4" i="1"/>
  <c r="B4" i="1"/>
  <c r="K182" i="1"/>
  <c r="L182" i="1" s="1"/>
  <c r="J182" i="1"/>
  <c r="I182" i="1"/>
  <c r="H182" i="1"/>
  <c r="B182" i="1"/>
  <c r="K3" i="1"/>
  <c r="J3" i="1"/>
  <c r="I3" i="1"/>
  <c r="H3" i="1"/>
  <c r="B3" i="1"/>
  <c r="K2" i="1"/>
  <c r="J2" i="1"/>
  <c r="I2" i="1"/>
  <c r="H2" i="1"/>
  <c r="B2" i="1"/>
  <c r="M10" i="7"/>
  <c r="L10" i="7"/>
  <c r="K10" i="7"/>
  <c r="M9" i="7"/>
  <c r="L9" i="7"/>
  <c r="K9" i="7"/>
  <c r="M8" i="7"/>
  <c r="L8" i="7"/>
  <c r="K8" i="7"/>
  <c r="M7" i="7"/>
  <c r="L7" i="7"/>
  <c r="K7" i="7"/>
  <c r="L6" i="7"/>
  <c r="R17" i="11" l="1"/>
  <c r="M75" i="1"/>
  <c r="M78" i="1"/>
  <c r="L89" i="1"/>
  <c r="M89" i="1" s="1"/>
  <c r="M290" i="1"/>
  <c r="M347" i="1"/>
  <c r="L42" i="1"/>
  <c r="M42" i="1" s="1"/>
  <c r="M240" i="1"/>
  <c r="M136" i="1"/>
  <c r="M337" i="1"/>
  <c r="M219" i="1"/>
  <c r="M182" i="1"/>
  <c r="M185" i="1"/>
  <c r="M189" i="1"/>
  <c r="M299" i="1"/>
  <c r="M309" i="1"/>
  <c r="M313" i="1"/>
  <c r="M328" i="1"/>
  <c r="M224" i="1"/>
  <c r="M335" i="1"/>
  <c r="M20" i="1"/>
  <c r="M231" i="1"/>
  <c r="M261" i="1"/>
  <c r="L303" i="1"/>
  <c r="M303" i="1" s="1"/>
  <c r="L327" i="1"/>
  <c r="M327" i="1" s="1"/>
  <c r="I362" i="1"/>
  <c r="M135" i="1"/>
  <c r="M325" i="1"/>
  <c r="M134" i="1"/>
  <c r="M345" i="1"/>
  <c r="M187" i="1"/>
  <c r="M333" i="1"/>
  <c r="M77" i="1"/>
  <c r="L183" i="1"/>
  <c r="M183" i="1" s="1"/>
  <c r="J362" i="1"/>
  <c r="L190" i="1"/>
  <c r="M190" i="1" s="1"/>
  <c r="M207" i="1"/>
  <c r="L210" i="1"/>
  <c r="M210" i="1" s="1"/>
  <c r="L314" i="1"/>
  <c r="M314" i="1" s="1"/>
  <c r="L333" i="1"/>
  <c r="L154" i="1"/>
  <c r="M154" i="1" s="1"/>
  <c r="K362" i="1"/>
  <c r="M209" i="1"/>
  <c r="L61" i="1"/>
  <c r="M61" i="1" s="1"/>
  <c r="L270" i="1"/>
  <c r="M270" i="1" s="1"/>
  <c r="L112" i="1"/>
  <c r="M112" i="1" s="1"/>
  <c r="M267" i="1"/>
  <c r="L323" i="1"/>
  <c r="M323" i="1" s="1"/>
  <c r="L41" i="1"/>
  <c r="M41" i="1" s="1"/>
  <c r="L76" i="1"/>
  <c r="M76" i="1" s="1"/>
  <c r="L77" i="1"/>
  <c r="L267" i="1"/>
  <c r="L278" i="1"/>
  <c r="M278" i="1" s="1"/>
  <c r="M100" i="1"/>
  <c r="M142" i="1"/>
  <c r="L148" i="1"/>
  <c r="M148" i="1" s="1"/>
  <c r="L357" i="1"/>
  <c r="M357" i="1" s="1"/>
  <c r="L87" i="1"/>
  <c r="M87" i="1" s="1"/>
  <c r="L297" i="1"/>
  <c r="M297" i="1" s="1"/>
  <c r="L140" i="1"/>
  <c r="M140" i="1" s="1"/>
  <c r="L43" i="1"/>
  <c r="M43" i="1" s="1"/>
  <c r="L69" i="1"/>
  <c r="M69" i="1" s="1"/>
  <c r="L79" i="1"/>
  <c r="M79" i="1" s="1"/>
  <c r="L127" i="1"/>
  <c r="M127" i="1"/>
  <c r="L343" i="1"/>
  <c r="M343" i="1" s="1"/>
  <c r="L355" i="1"/>
  <c r="M355" i="1" s="1"/>
  <c r="M191" i="1"/>
  <c r="L14" i="1"/>
  <c r="M14" i="1" s="1"/>
  <c r="L108" i="1"/>
  <c r="M108" i="1" s="1"/>
  <c r="L296" i="1"/>
  <c r="M296" i="1" s="1"/>
  <c r="L319" i="1"/>
  <c r="M319" i="1" s="1"/>
  <c r="L341" i="1"/>
  <c r="M341" i="1" s="1"/>
  <c r="L346" i="1"/>
  <c r="M346" i="1" s="1"/>
  <c r="M13" i="1"/>
  <c r="L55" i="1"/>
  <c r="M55" i="1" s="1"/>
  <c r="M57" i="1"/>
  <c r="L67" i="1"/>
  <c r="M67" i="1" s="1"/>
  <c r="L249" i="1"/>
  <c r="M249" i="1" s="1"/>
  <c r="L84" i="1"/>
  <c r="M84" i="1" s="1"/>
  <c r="M272" i="1"/>
  <c r="M106" i="1"/>
  <c r="L157" i="1"/>
  <c r="M157" i="1" s="1"/>
  <c r="M10" i="1"/>
  <c r="L19" i="1"/>
  <c r="M19" i="1" s="1"/>
  <c r="L26" i="1"/>
  <c r="M26" i="1" s="1"/>
  <c r="L37" i="1"/>
  <c r="M37" i="1" s="1"/>
  <c r="L153" i="1"/>
  <c r="M153" i="1" s="1"/>
  <c r="L155" i="1"/>
  <c r="M155" i="1" s="1"/>
  <c r="L170" i="1"/>
  <c r="M170" i="1" s="1"/>
  <c r="M188" i="1"/>
  <c r="L17" i="1"/>
  <c r="M17" i="1" s="1"/>
  <c r="M144" i="1"/>
  <c r="L187" i="1"/>
  <c r="L203" i="1"/>
  <c r="M203" i="1" s="1"/>
  <c r="L101" i="1"/>
  <c r="M101" i="1" s="1"/>
  <c r="L291" i="1"/>
  <c r="M291" i="1" s="1"/>
  <c r="L268" i="1"/>
  <c r="M268" i="1" s="1"/>
  <c r="L118" i="1"/>
  <c r="M118" i="1" s="1"/>
  <c r="M360" i="1"/>
  <c r="L33" i="1"/>
  <c r="M33" i="1" s="1"/>
  <c r="L221" i="1"/>
  <c r="M221" i="1" s="1"/>
  <c r="L257" i="1"/>
  <c r="M257" i="1" s="1"/>
  <c r="M98" i="1"/>
  <c r="L281" i="1"/>
  <c r="M281" i="1" s="1"/>
  <c r="L128" i="1"/>
  <c r="M128" i="1" s="1"/>
  <c r="L360" i="1"/>
  <c r="L44" i="1"/>
  <c r="M44" i="1" s="1"/>
  <c r="L50" i="1"/>
  <c r="M50" i="1" s="1"/>
  <c r="L12" i="1"/>
  <c r="M12" i="1" s="1"/>
  <c r="L344" i="1"/>
  <c r="M344" i="1" s="1"/>
  <c r="L176" i="1"/>
  <c r="M176" i="1" s="1"/>
  <c r="L237" i="1"/>
  <c r="M237" i="1" s="1"/>
  <c r="M274" i="1"/>
  <c r="M107" i="1"/>
  <c r="L236" i="1"/>
  <c r="M236" i="1" s="1"/>
  <c r="L73" i="1"/>
  <c r="M73" i="1" s="1"/>
  <c r="L227" i="1"/>
  <c r="M227" i="1" s="1"/>
  <c r="L52" i="1"/>
  <c r="M52" i="1" s="1"/>
  <c r="L65" i="1"/>
  <c r="M65" i="1" s="1"/>
  <c r="L106" i="1"/>
  <c r="L129" i="1"/>
  <c r="M129" i="1" s="1"/>
  <c r="L311" i="1"/>
  <c r="M311" i="1" s="1"/>
  <c r="L132" i="1"/>
  <c r="M132" i="1" s="1"/>
  <c r="L62" i="1"/>
  <c r="M62" i="1" s="1"/>
  <c r="M359" i="1"/>
  <c r="L184" i="1"/>
  <c r="M184" i="1" s="1"/>
  <c r="H362" i="1"/>
  <c r="M218" i="1"/>
  <c r="L39" i="1"/>
  <c r="M39" i="1" s="1"/>
  <c r="L105" i="1"/>
  <c r="M105" i="1" s="1"/>
  <c r="L166" i="1"/>
  <c r="M166" i="1" s="1"/>
  <c r="M16" i="1"/>
  <c r="L232" i="1"/>
  <c r="M232" i="1" s="1"/>
  <c r="L288" i="1"/>
  <c r="M288" i="1" s="1"/>
  <c r="L149" i="1"/>
  <c r="M149" i="1" s="1"/>
  <c r="L7" i="1"/>
  <c r="M7" i="1" s="1"/>
  <c r="L25" i="1"/>
  <c r="M25" i="1" s="1"/>
  <c r="M213" i="1"/>
  <c r="L35" i="1"/>
  <c r="M35" i="1" s="1"/>
  <c r="L40" i="1"/>
  <c r="M40" i="1" s="1"/>
  <c r="L47" i="1"/>
  <c r="M47" i="1" s="1"/>
  <c r="M147" i="1"/>
  <c r="L331" i="1"/>
  <c r="M331" i="1" s="1"/>
  <c r="L206" i="1"/>
  <c r="M206" i="1" s="1"/>
  <c r="M34" i="1"/>
  <c r="L242" i="1"/>
  <c r="M242" i="1" s="1"/>
  <c r="M255" i="1"/>
  <c r="M263" i="1"/>
  <c r="L292" i="1"/>
  <c r="M292" i="1" s="1"/>
  <c r="L159" i="1"/>
  <c r="M159" i="1" s="1"/>
  <c r="L350" i="1"/>
  <c r="M350" i="1" s="1"/>
  <c r="L352" i="1"/>
  <c r="M352" i="1" s="1"/>
  <c r="L179" i="1"/>
  <c r="M179" i="1" s="1"/>
  <c r="M36" i="1"/>
  <c r="M48" i="1"/>
  <c r="L229" i="1"/>
  <c r="M229" i="1" s="1"/>
  <c r="L235" i="1"/>
  <c r="M235" i="1" s="1"/>
  <c r="L245" i="1"/>
  <c r="M245" i="1" s="1"/>
  <c r="L246" i="1"/>
  <c r="M246" i="1" s="1"/>
  <c r="M264" i="1"/>
  <c r="L86" i="1"/>
  <c r="M86" i="1" s="1"/>
  <c r="M94" i="1"/>
  <c r="M279" i="1"/>
  <c r="L103" i="1"/>
  <c r="M103" i="1" s="1"/>
  <c r="M113" i="1"/>
  <c r="M115" i="1"/>
  <c r="L294" i="1"/>
  <c r="M294" i="1" s="1"/>
  <c r="L332" i="1"/>
  <c r="M332" i="1" s="1"/>
  <c r="M158" i="1"/>
  <c r="M161" i="1"/>
  <c r="L162" i="1"/>
  <c r="M162" i="1" s="1"/>
  <c r="M351" i="1"/>
  <c r="L175" i="1"/>
  <c r="M175" i="1" s="1"/>
  <c r="M361" i="1"/>
  <c r="L260" i="1"/>
  <c r="M260" i="1" s="1"/>
  <c r="L202" i="1"/>
  <c r="M202" i="1" s="1"/>
  <c r="L59" i="1"/>
  <c r="M59" i="1" s="1"/>
  <c r="L253" i="1"/>
  <c r="M253" i="1" s="1"/>
  <c r="L5" i="1"/>
  <c r="M5" i="1" s="1"/>
  <c r="M51" i="1"/>
  <c r="L83" i="1"/>
  <c r="M83" i="1" s="1"/>
  <c r="M310" i="1"/>
  <c r="L95" i="1"/>
  <c r="M95" i="1" s="1"/>
  <c r="M97" i="1"/>
  <c r="L186" i="1"/>
  <c r="M186" i="1" s="1"/>
  <c r="M199" i="1"/>
  <c r="M200" i="1"/>
  <c r="M21" i="1"/>
  <c r="L29" i="1"/>
  <c r="M29" i="1" s="1"/>
  <c r="L211" i="1"/>
  <c r="M211" i="1" s="1"/>
  <c r="L217" i="1"/>
  <c r="M217" i="1" s="1"/>
  <c r="L250" i="1"/>
  <c r="M250" i="1" s="1"/>
  <c r="L71" i="1"/>
  <c r="M71" i="1" s="1"/>
  <c r="L266" i="1"/>
  <c r="M266" i="1"/>
  <c r="L282" i="1"/>
  <c r="M282" i="1" s="1"/>
  <c r="L285" i="1"/>
  <c r="M285" i="1" s="1"/>
  <c r="L138" i="1"/>
  <c r="M138" i="1" s="1"/>
  <c r="L143" i="1"/>
  <c r="M143" i="1" s="1"/>
  <c r="L119" i="1"/>
  <c r="M119" i="1" s="1"/>
  <c r="L305" i="1"/>
  <c r="M305" i="1" s="1"/>
  <c r="L195" i="1"/>
  <c r="M195" i="1" s="1"/>
  <c r="L23" i="1"/>
  <c r="M23" i="1" s="1"/>
  <c r="L254" i="1"/>
  <c r="M254" i="1" s="1"/>
  <c r="L121" i="1"/>
  <c r="M121" i="1" s="1"/>
  <c r="L330" i="1"/>
  <c r="M330" i="1" s="1"/>
  <c r="L53" i="1"/>
  <c r="M53" i="1" s="1"/>
  <c r="L63" i="1"/>
  <c r="M63" i="1" s="1"/>
  <c r="L130" i="1"/>
  <c r="M130" i="1" s="1"/>
  <c r="L11" i="1"/>
  <c r="M11" i="1" s="1"/>
  <c r="M243" i="1"/>
  <c r="L256" i="1"/>
  <c r="M256" i="1" s="1"/>
  <c r="L173" i="1"/>
  <c r="M173" i="1" s="1"/>
  <c r="L3" i="1"/>
  <c r="M3" i="1" s="1"/>
  <c r="L223" i="1"/>
  <c r="M223" i="1" s="1"/>
  <c r="L230" i="1"/>
  <c r="M230" i="1" s="1"/>
  <c r="L8" i="1"/>
  <c r="M8" i="1" s="1"/>
  <c r="M239" i="1"/>
  <c r="M68" i="1"/>
  <c r="L284" i="1"/>
  <c r="M284" i="1" s="1"/>
  <c r="L116" i="1"/>
  <c r="M116" i="1" s="1"/>
  <c r="M122" i="1"/>
  <c r="M125" i="1"/>
  <c r="L126" i="1"/>
  <c r="M126" i="1" s="1"/>
  <c r="L139" i="1"/>
  <c r="M139" i="1" s="1"/>
  <c r="L91" i="1"/>
  <c r="M91" i="1" s="1"/>
  <c r="L279" i="1"/>
  <c r="L114" i="1"/>
  <c r="M114" i="1" s="1"/>
  <c r="L329" i="1"/>
  <c r="M329" i="1" s="1"/>
  <c r="L338" i="1"/>
  <c r="M338" i="1" s="1"/>
  <c r="L163" i="1"/>
  <c r="M163" i="1" s="1"/>
  <c r="L172" i="1"/>
  <c r="M172" i="1" s="1"/>
  <c r="L181" i="1"/>
  <c r="M181" i="1" s="1"/>
  <c r="L2" i="1"/>
  <c r="L204" i="1"/>
  <c r="M204" i="1" s="1"/>
  <c r="L27" i="1"/>
  <c r="M27" i="1" s="1"/>
  <c r="L31" i="1"/>
  <c r="M31" i="1" s="1"/>
  <c r="L60" i="1"/>
  <c r="M60" i="1" s="1"/>
  <c r="M80" i="1"/>
  <c r="M88" i="1"/>
  <c r="M275" i="1"/>
  <c r="L96" i="1"/>
  <c r="M96" i="1" s="1"/>
  <c r="L99" i="1"/>
  <c r="M99" i="1" s="1"/>
  <c r="L283" i="1"/>
  <c r="M283" i="1" s="1"/>
  <c r="L286" i="1"/>
  <c r="M286" i="1" s="1"/>
  <c r="L110" i="1"/>
  <c r="M110" i="1" s="1"/>
  <c r="M298" i="1"/>
  <c r="M123" i="1"/>
  <c r="L124" i="1"/>
  <c r="M124" i="1" s="1"/>
  <c r="M307" i="1"/>
  <c r="M316" i="1"/>
  <c r="M320" i="1"/>
  <c r="L141" i="1"/>
  <c r="M141" i="1" s="1"/>
  <c r="M145" i="1"/>
  <c r="M334" i="1"/>
  <c r="L340" i="1"/>
  <c r="M340" i="1" s="1"/>
  <c r="M177" i="1"/>
  <c r="L178" i="1"/>
  <c r="M178" i="1" s="1"/>
  <c r="M6" i="1"/>
  <c r="L131" i="1"/>
  <c r="M131" i="1" s="1"/>
  <c r="L168" i="1"/>
  <c r="M168" i="1" s="1"/>
  <c r="M9" i="1"/>
  <c r="L214" i="1"/>
  <c r="M214" i="1" s="1"/>
  <c r="L38" i="1"/>
  <c r="M38" i="1" s="1"/>
  <c r="L222" i="1"/>
  <c r="M222" i="1" s="1"/>
  <c r="M225" i="1"/>
  <c r="L244" i="1"/>
  <c r="M244" i="1" s="1"/>
  <c r="L66" i="1"/>
  <c r="M66" i="1" s="1"/>
  <c r="L70" i="1"/>
  <c r="M70" i="1" s="1"/>
  <c r="L74" i="1"/>
  <c r="M74" i="1" s="1"/>
  <c r="L258" i="1"/>
  <c r="M258" i="1" s="1"/>
  <c r="M215" i="1"/>
  <c r="M72" i="1"/>
  <c r="M287" i="1"/>
  <c r="L308" i="1"/>
  <c r="M308" i="1" s="1"/>
  <c r="L326" i="1"/>
  <c r="M326" i="1" s="1"/>
  <c r="L164" i="1"/>
  <c r="M164" i="1" s="1"/>
  <c r="L362" i="1" l="1"/>
  <c r="M2" i="1"/>
  <c r="M36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7EBCB5-A542-4D65-8EE5-DCDF39B251CA}"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68F25722-83A7-4527-AE19-23DFF0C2C38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68B71B92-B1D4-446A-98EF-F793A2FB1B47}" keepAlive="1" name="Query - Table1 (3)" description="Connection to the 'Table1 (3)' query in the workbook." type="5" refreshedVersion="8" background="1">
    <dbPr connection="Provider=Microsoft.Mashup.OleDb.1;Data Source=$Workbook$;Location=&quot;Table1 (3)&quot;;Extended Properties=&quot;&quot;" command="SELECT * FROM [Table1 (3)]"/>
  </connection>
  <connection id="4" xr16:uid="{0C374B15-66F7-4B74-94A0-F6D74BA64DF6}" keepAlive="1" name="Query - Table1__2" description="Connection to the 'Table1__2' query in the workbook." type="5" refreshedVersion="0" background="1">
    <dbPr connection="Provider=Microsoft.Mashup.OleDb.1;Data Source=$Workbook$;Location=Table1__2;Extended Properties=&quot;&quot;" command="SELECT * FROM [Table1__2]"/>
  </connection>
  <connection id="5" xr16:uid="{2437920B-72B7-470D-9AC0-BA1D88B82736}" keepAlive="1" name="Query - Table1__3" description="Connection to the 'Table1__3' query in the workbook." type="5" refreshedVersion="8" background="1" saveData="1">
    <dbPr connection="Provider=Microsoft.Mashup.OleDb.1;Data Source=$Workbook$;Location=Table1__3;Extended Properties=&quot;&quot;" command="SELECT * FROM [Table1__3]"/>
  </connection>
  <connection id="6" xr16:uid="{30948664-E6CF-4B65-AD9F-5FC9E541685C}" keepAlive="1" name="Query - Table1__3_1" description="Connection to the 'Table1__3_1' query in the workbook." type="5" refreshedVersion="8" background="1" saveData="1">
    <dbPr connection="Provider=Microsoft.Mashup.OleDb.1;Data Source=$Workbook$;Location=Table1__3_1;Extended Properties=&quot;&quot;" command="SELECT * FROM [Table1__3_1]"/>
  </connection>
  <connection id="7" xr16:uid="{34BFDA8B-7896-4FD0-B4E1-3C1158CFA3C4}" keepAlive="1" name="Query - Table1__3_1 (2)" description="Connection to the 'Table1__3_1 (2)' query in the workbook." type="5" refreshedVersion="8" background="1" saveData="1">
    <dbPr connection="Provider=Microsoft.Mashup.OleDb.1;Data Source=$Workbook$;Location=&quot;Table1__3_1 (2)&quot;;Extended Properties=&quot;&quot;" command="SELECT * FROM [Table1__3_1 (2)]"/>
  </connection>
  <connection id="8" xr16:uid="{52ECF8C5-46E3-45FD-9307-2B996C9FAD4F}" keepAlive="1" name="Query - Table1__3_1 (3)" description="Connection to the 'Table1__3_1 (3)' query in the workbook." type="5" refreshedVersion="0" background="1">
    <dbPr connection="Provider=Microsoft.Mashup.OleDb.1;Data Source=$Workbook$;Location=&quot;Table1__3_1 (3)&quot;;Extended Properties=&quot;&quot;" command="SELECT * FROM [Table1__3_1 (3)]"/>
  </connection>
</connections>
</file>

<file path=xl/sharedStrings.xml><?xml version="1.0" encoding="utf-8"?>
<sst xmlns="http://schemas.openxmlformats.org/spreadsheetml/2006/main" count="1456" uniqueCount="100">
  <si>
    <t>Date</t>
  </si>
  <si>
    <t>Manager</t>
  </si>
  <si>
    <t>Product</t>
  </si>
  <si>
    <t>Manager A</t>
  </si>
  <si>
    <t>Manager B</t>
  </si>
  <si>
    <t>Manager C</t>
  </si>
  <si>
    <t>Manager D</t>
  </si>
  <si>
    <t>Manager E</t>
  </si>
  <si>
    <t>Product 1</t>
  </si>
  <si>
    <t>Product 2</t>
  </si>
  <si>
    <t>Product 3</t>
  </si>
  <si>
    <t>Commission</t>
  </si>
  <si>
    <t>Sales</t>
  </si>
  <si>
    <t>Manager ID</t>
  </si>
  <si>
    <t>Manager Name</t>
  </si>
  <si>
    <t>Chanandler Bong</t>
  </si>
  <si>
    <t>Russ Geller</t>
  </si>
  <si>
    <t>Ken Adams</t>
  </si>
  <si>
    <t>Regine Phillange</t>
  </si>
  <si>
    <t>Mike Pianomann</t>
  </si>
  <si>
    <t>Gunther Centralperk</t>
  </si>
  <si>
    <t>Product ID</t>
  </si>
  <si>
    <t>Product Name</t>
  </si>
  <si>
    <t>Traditional English Trifle</t>
  </si>
  <si>
    <t>Floor Cheesecake</t>
  </si>
  <si>
    <t>Moist Maker Sandwich</t>
  </si>
  <si>
    <t>Nastlie's Toolhaus Cookies</t>
  </si>
  <si>
    <t>Mockolate</t>
  </si>
  <si>
    <t>Crab Cakes</t>
  </si>
  <si>
    <t>Monica's Candy</t>
  </si>
  <si>
    <t>Stuffed With Cheese</t>
  </si>
  <si>
    <t>Thanksgiving Yams</t>
  </si>
  <si>
    <t>Organic Wax Jam</t>
  </si>
  <si>
    <t>Monique Bingette</t>
  </si>
  <si>
    <t>Rachella Green</t>
  </si>
  <si>
    <t>Manager names</t>
  </si>
  <si>
    <t>Manager F</t>
  </si>
  <si>
    <t>Manager G</t>
  </si>
  <si>
    <t>Manager H</t>
  </si>
  <si>
    <t>Product Description</t>
  </si>
  <si>
    <t>product 1</t>
  </si>
  <si>
    <t>product 2</t>
  </si>
  <si>
    <t>product 3</t>
  </si>
  <si>
    <t>product 4</t>
  </si>
  <si>
    <t>product 5</t>
  </si>
  <si>
    <t>product 6</t>
  </si>
  <si>
    <t>product 7</t>
  </si>
  <si>
    <t>product 8</t>
  </si>
  <si>
    <t>product 9</t>
  </si>
  <si>
    <t>product 10</t>
  </si>
  <si>
    <t>Year</t>
  </si>
  <si>
    <t>Month</t>
  </si>
  <si>
    <t>Qualitative Column</t>
  </si>
  <si>
    <t>Grand Total</t>
  </si>
  <si>
    <t>Total</t>
  </si>
  <si>
    <t>January</t>
  </si>
  <si>
    <t>February</t>
  </si>
  <si>
    <t>March</t>
  </si>
  <si>
    <t>April</t>
  </si>
  <si>
    <t>May</t>
  </si>
  <si>
    <t>June</t>
  </si>
  <si>
    <t>July</t>
  </si>
  <si>
    <t>August</t>
  </si>
  <si>
    <t>September</t>
  </si>
  <si>
    <t>October</t>
  </si>
  <si>
    <t>November</t>
  </si>
  <si>
    <t>December</t>
  </si>
  <si>
    <t>Less the no. of Times</t>
  </si>
  <si>
    <t>Monthly Sales for Year 2022 and 2023</t>
  </si>
  <si>
    <t>Sales Above $10000/Times</t>
  </si>
  <si>
    <t>Sales Below $7500/Times</t>
  </si>
  <si>
    <t>Sales For Year 2022</t>
  </si>
  <si>
    <t xml:space="preserve"> Sales For Year 2023</t>
  </si>
  <si>
    <t>Mananger names</t>
  </si>
  <si>
    <t>Sum of Sales</t>
  </si>
  <si>
    <t>Commission Earned</t>
  </si>
  <si>
    <t>Revenue</t>
  </si>
  <si>
    <t>Pivot Chart for the year 2022 &amp; 2023</t>
  </si>
  <si>
    <t>Summary Table (Key Facts)</t>
  </si>
  <si>
    <t xml:space="preserve"> Data of 2 years Performance</t>
  </si>
  <si>
    <t>Sum of Commission earned</t>
  </si>
  <si>
    <t>Sales Target</t>
  </si>
  <si>
    <t>Cost</t>
  </si>
  <si>
    <t>Total Sales</t>
  </si>
  <si>
    <t xml:space="preserve">     Sales &amp; Commission Earned Overtime (Combo Chart)</t>
  </si>
  <si>
    <t>Actual Sales</t>
  </si>
  <si>
    <t>Column Labels</t>
  </si>
  <si>
    <t>Total Total Sales</t>
  </si>
  <si>
    <t>Total Commission Earned</t>
  </si>
  <si>
    <t xml:space="preserve">Sales </t>
  </si>
  <si>
    <t xml:space="preserve">Commission </t>
  </si>
  <si>
    <t xml:space="preserve">Cost </t>
  </si>
  <si>
    <t>Exceeded the target</t>
  </si>
  <si>
    <t>Best Selling Product</t>
  </si>
  <si>
    <t>Net Proceed</t>
  </si>
  <si>
    <t>Net proceed Chart in thousands (Waterfall chart )</t>
  </si>
  <si>
    <t xml:space="preserve">Manager Names </t>
  </si>
  <si>
    <t>Met the Target</t>
  </si>
  <si>
    <t xml:space="preserve"> Unmet the target</t>
  </si>
  <si>
    <t>Performance Review For 2Years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</si>
</sst>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0.00"/>
    <numFmt numFmtId="166" formatCode="0.000"/>
  </numFmts>
  <fonts count="13" x14ac:knownFonts="1">
    <font>
      <sz val="11"/>
      <color theme="1"/>
      <name val="Calibri"/>
      <family val="2"/>
      <scheme val="minor"/>
    </font>
    <font>
      <b/>
      <sz val="11"/>
      <color theme="1"/>
      <name val="Calibri"/>
      <family val="2"/>
      <scheme val="minor"/>
    </font>
    <font>
      <sz val="8"/>
      <name val="Calibri"/>
      <family val="2"/>
      <scheme val="minor"/>
    </font>
    <font>
      <b/>
      <sz val="11"/>
      <color theme="1"/>
      <name val="Cambria"/>
      <family val="1"/>
      <scheme val="major"/>
    </font>
    <font>
      <b/>
      <sz val="16"/>
      <color theme="1"/>
      <name val="Cambria"/>
      <family val="1"/>
      <scheme val="major"/>
    </font>
    <font>
      <sz val="16"/>
      <color theme="1"/>
      <name val="Calibri"/>
      <family val="2"/>
      <scheme val="minor"/>
    </font>
    <font>
      <b/>
      <sz val="16"/>
      <color theme="1"/>
      <name val="Calibri"/>
      <family val="2"/>
      <scheme val="minor"/>
    </font>
    <font>
      <sz val="16"/>
      <color theme="1"/>
      <name val="Cambria"/>
      <family val="1"/>
      <scheme val="major"/>
    </font>
    <font>
      <sz val="11"/>
      <color theme="1"/>
      <name val="Calibri"/>
      <family val="2"/>
      <scheme val="minor"/>
    </font>
    <font>
      <b/>
      <sz val="10"/>
      <color theme="1"/>
      <name val="Cambria"/>
      <family val="1"/>
      <scheme val="major"/>
    </font>
    <font>
      <b/>
      <sz val="12"/>
      <color theme="1"/>
      <name val="Cambria"/>
      <family val="1"/>
      <scheme val="major"/>
    </font>
    <font>
      <b/>
      <sz val="14"/>
      <color theme="1"/>
      <name val="Cambria"/>
      <family val="1"/>
      <scheme val="major"/>
    </font>
    <font>
      <sz val="11"/>
      <color theme="1"/>
      <name val="Open Sans"/>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theme="4" tint="0.39997558519241921"/>
      </top>
      <bottom/>
      <diagonal/>
    </border>
  </borders>
  <cellStyleXfs count="2">
    <xf numFmtId="0" fontId="0" fillId="0" borderId="0"/>
    <xf numFmtId="9" fontId="8" fillId="0" borderId="0" applyFont="0" applyFill="0" applyBorder="0" applyAlignment="0" applyProtection="0"/>
  </cellStyleXfs>
  <cellXfs count="29">
    <xf numFmtId="0" fontId="0" fillId="0" borderId="0" xfId="0"/>
    <xf numFmtId="164" fontId="0" fillId="0" borderId="0" xfId="0" applyNumberFormat="1"/>
    <xf numFmtId="0" fontId="0" fillId="0" borderId="1" xfId="0" applyBorder="1"/>
    <xf numFmtId="0" fontId="1" fillId="0" borderId="1" xfId="0" applyFont="1" applyBorder="1"/>
    <xf numFmtId="0" fontId="1" fillId="0" borderId="2" xfId="0" applyFont="1" applyBorder="1" applyAlignment="1">
      <alignment horizontal="center" vertical="top"/>
    </xf>
    <xf numFmtId="0" fontId="0" fillId="0" borderId="3" xfId="0" applyBorder="1"/>
    <xf numFmtId="0" fontId="0" fillId="0" borderId="4" xfId="0" applyBorder="1"/>
    <xf numFmtId="0" fontId="1" fillId="0" borderId="5" xfId="0" applyFont="1" applyBorder="1"/>
    <xf numFmtId="0" fontId="1" fillId="0" borderId="6" xfId="0" applyFont="1" applyBorder="1"/>
    <xf numFmtId="0" fontId="0" fillId="0" borderId="7" xfId="0" applyBorder="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165" fontId="0" fillId="0" borderId="0" xfId="0" applyNumberFormat="1"/>
    <xf numFmtId="0" fontId="1" fillId="2" borderId="8" xfId="0" applyFont="1" applyFill="1" applyBorder="1"/>
    <xf numFmtId="166" fontId="0" fillId="0" borderId="0" xfId="0" applyNumberFormat="1"/>
    <xf numFmtId="0" fontId="9" fillId="0" borderId="0" xfId="0" applyFont="1"/>
    <xf numFmtId="0" fontId="10" fillId="0" borderId="0" xfId="0" applyFont="1"/>
    <xf numFmtId="0" fontId="0" fillId="3" borderId="0" xfId="0" applyFill="1"/>
    <xf numFmtId="0" fontId="11" fillId="0" borderId="0" xfId="0" applyFont="1"/>
    <xf numFmtId="0" fontId="1" fillId="0" borderId="0" xfId="0" applyFont="1"/>
    <xf numFmtId="0" fontId="1" fillId="0" borderId="0" xfId="0" applyFont="1" applyAlignment="1">
      <alignment horizontal="left"/>
    </xf>
    <xf numFmtId="0" fontId="12" fillId="0" borderId="0" xfId="0" applyFont="1"/>
    <xf numFmtId="165" fontId="12" fillId="0" borderId="0" xfId="1" applyNumberFormat="1" applyFont="1"/>
    <xf numFmtId="1" fontId="0" fillId="0" borderId="0" xfId="0" applyNumberFormat="1"/>
  </cellXfs>
  <cellStyles count="2">
    <cellStyle name="Normal" xfId="0" builtinId="0"/>
    <cellStyle name="Percent" xfId="1" builtinId="5"/>
  </cellStyles>
  <dxfs count="28">
    <dxf>
      <numFmt numFmtId="166" formatCode="0.000"/>
    </dxf>
    <dxf>
      <fill>
        <patternFill patternType="solid">
          <bgColor rgb="FF00B050"/>
        </patternFill>
      </fill>
    </dxf>
    <dxf>
      <fill>
        <patternFill patternType="solid">
          <bgColor rgb="FF00B050"/>
        </patternFill>
      </fil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Nirbhik singh.xlsx]Power Pivot-Key Facts!PivotTable13</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4951464400284"/>
          <c:y val="0.15003022467659596"/>
          <c:w val="0.79325369393065681"/>
          <c:h val="0.61232174103237091"/>
        </c:manualLayout>
      </c:layout>
      <c:barChart>
        <c:barDir val="col"/>
        <c:grouping val="stacked"/>
        <c:varyColors val="0"/>
        <c:ser>
          <c:idx val="0"/>
          <c:order val="0"/>
          <c:tx>
            <c:strRef>
              <c:f>'Power Pivot-Key Facts'!$B$4:$B$6</c:f>
              <c:strCache>
                <c:ptCount val="1"/>
                <c:pt idx="0">
                  <c:v>Total Sales - Floor Cheesecake</c:v>
                </c:pt>
              </c:strCache>
            </c:strRef>
          </c:tx>
          <c:spPr>
            <a:solidFill>
              <a:schemeClr val="accent1"/>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Facts'!$B$7:$B$12</c:f>
              <c:numCache>
                <c:formatCode>General</c:formatCode>
                <c:ptCount val="5"/>
                <c:pt idx="0">
                  <c:v>79583</c:v>
                </c:pt>
                <c:pt idx="1">
                  <c:v>65327</c:v>
                </c:pt>
                <c:pt idx="2">
                  <c:v>67810</c:v>
                </c:pt>
                <c:pt idx="3">
                  <c:v>76457</c:v>
                </c:pt>
                <c:pt idx="4">
                  <c:v>63499</c:v>
                </c:pt>
              </c:numCache>
            </c:numRef>
          </c:val>
          <c:extLst>
            <c:ext xmlns:c16="http://schemas.microsoft.com/office/drawing/2014/chart" uri="{C3380CC4-5D6E-409C-BE32-E72D297353CC}">
              <c16:uniqueId val="{0000002E-F0BA-40FB-AA18-88ECCE17A0BE}"/>
            </c:ext>
          </c:extLst>
        </c:ser>
        <c:ser>
          <c:idx val="1"/>
          <c:order val="1"/>
          <c:tx>
            <c:strRef>
              <c:f>'Power Pivot-Key Facts'!$C$4:$C$6</c:f>
              <c:strCache>
                <c:ptCount val="1"/>
                <c:pt idx="0">
                  <c:v>Total Sales - Mockolate</c:v>
                </c:pt>
              </c:strCache>
            </c:strRef>
          </c:tx>
          <c:spPr>
            <a:solidFill>
              <a:schemeClr val="accent2"/>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Facts'!$C$7:$C$12</c:f>
              <c:numCache>
                <c:formatCode>General</c:formatCode>
                <c:ptCount val="5"/>
                <c:pt idx="0">
                  <c:v>63136</c:v>
                </c:pt>
                <c:pt idx="1">
                  <c:v>70492</c:v>
                </c:pt>
                <c:pt idx="2">
                  <c:v>78089</c:v>
                </c:pt>
                <c:pt idx="3">
                  <c:v>73447</c:v>
                </c:pt>
                <c:pt idx="4">
                  <c:v>69254</c:v>
                </c:pt>
              </c:numCache>
            </c:numRef>
          </c:val>
          <c:extLst>
            <c:ext xmlns:c16="http://schemas.microsoft.com/office/drawing/2014/chart" uri="{C3380CC4-5D6E-409C-BE32-E72D297353CC}">
              <c16:uniqueId val="{0000002F-F0BA-40FB-AA18-88ECCE17A0BE}"/>
            </c:ext>
          </c:extLst>
        </c:ser>
        <c:ser>
          <c:idx val="2"/>
          <c:order val="2"/>
          <c:tx>
            <c:strRef>
              <c:f>'Power Pivot-Key Facts'!$D$4:$D$6</c:f>
              <c:strCache>
                <c:ptCount val="1"/>
                <c:pt idx="0">
                  <c:v>Total Sales - Traditional English Trifle</c:v>
                </c:pt>
              </c:strCache>
            </c:strRef>
          </c:tx>
          <c:spPr>
            <a:solidFill>
              <a:schemeClr val="accent3"/>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Facts'!$D$7:$D$12</c:f>
              <c:numCache>
                <c:formatCode>General</c:formatCode>
                <c:ptCount val="5"/>
                <c:pt idx="0">
                  <c:v>71903</c:v>
                </c:pt>
                <c:pt idx="1">
                  <c:v>73099</c:v>
                </c:pt>
                <c:pt idx="2">
                  <c:v>72944</c:v>
                </c:pt>
                <c:pt idx="3">
                  <c:v>77557</c:v>
                </c:pt>
                <c:pt idx="4">
                  <c:v>75907</c:v>
                </c:pt>
              </c:numCache>
            </c:numRef>
          </c:val>
          <c:extLst>
            <c:ext xmlns:c16="http://schemas.microsoft.com/office/drawing/2014/chart" uri="{C3380CC4-5D6E-409C-BE32-E72D297353CC}">
              <c16:uniqueId val="{00000048-48D8-49CB-A917-D45D53365CBE}"/>
            </c:ext>
          </c:extLst>
        </c:ser>
        <c:ser>
          <c:idx val="3"/>
          <c:order val="3"/>
          <c:tx>
            <c:strRef>
              <c:f>'Power Pivot-Key Facts'!$E$4:$E$6</c:f>
              <c:strCache>
                <c:ptCount val="1"/>
                <c:pt idx="0">
                  <c:v>Commission Earned - Floor Cheesecake</c:v>
                </c:pt>
              </c:strCache>
            </c:strRef>
          </c:tx>
          <c:spPr>
            <a:solidFill>
              <a:schemeClr val="accent4"/>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Facts'!$E$7:$E$12</c:f>
              <c:numCache>
                <c:formatCode>General</c:formatCode>
                <c:ptCount val="5"/>
                <c:pt idx="0">
                  <c:v>3712.7347748151524</c:v>
                </c:pt>
                <c:pt idx="1">
                  <c:v>3531.1335076270807</c:v>
                </c:pt>
                <c:pt idx="2">
                  <c:v>3365.7658411345546</c:v>
                </c:pt>
                <c:pt idx="3">
                  <c:v>3961.3548573440612</c:v>
                </c:pt>
                <c:pt idx="4">
                  <c:v>3092.0119717424777</c:v>
                </c:pt>
              </c:numCache>
            </c:numRef>
          </c:val>
          <c:extLst>
            <c:ext xmlns:c16="http://schemas.microsoft.com/office/drawing/2014/chart" uri="{C3380CC4-5D6E-409C-BE32-E72D297353CC}">
              <c16:uniqueId val="{00000049-48D8-49CB-A917-D45D53365CBE}"/>
            </c:ext>
          </c:extLst>
        </c:ser>
        <c:ser>
          <c:idx val="4"/>
          <c:order val="4"/>
          <c:tx>
            <c:strRef>
              <c:f>'Power Pivot-Key Facts'!$F$4:$F$6</c:f>
              <c:strCache>
                <c:ptCount val="1"/>
                <c:pt idx="0">
                  <c:v>Commission Earned - Mockolate</c:v>
                </c:pt>
              </c:strCache>
            </c:strRef>
          </c:tx>
          <c:spPr>
            <a:solidFill>
              <a:schemeClr val="accent5"/>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Facts'!$F$7:$F$12</c:f>
              <c:numCache>
                <c:formatCode>General</c:formatCode>
                <c:ptCount val="5"/>
                <c:pt idx="0">
                  <c:v>3091.9877895300037</c:v>
                </c:pt>
                <c:pt idx="1">
                  <c:v>3197.1419328380871</c:v>
                </c:pt>
                <c:pt idx="2">
                  <c:v>3870.5841333139961</c:v>
                </c:pt>
                <c:pt idx="3">
                  <c:v>3526.2021171178585</c:v>
                </c:pt>
                <c:pt idx="4">
                  <c:v>3356.0913885360956</c:v>
                </c:pt>
              </c:numCache>
            </c:numRef>
          </c:val>
          <c:extLst>
            <c:ext xmlns:c16="http://schemas.microsoft.com/office/drawing/2014/chart" uri="{C3380CC4-5D6E-409C-BE32-E72D297353CC}">
              <c16:uniqueId val="{0000004A-48D8-49CB-A917-D45D53365CBE}"/>
            </c:ext>
          </c:extLst>
        </c:ser>
        <c:ser>
          <c:idx val="5"/>
          <c:order val="5"/>
          <c:tx>
            <c:strRef>
              <c:f>'Power Pivot-Key Facts'!$G$4:$G$6</c:f>
              <c:strCache>
                <c:ptCount val="1"/>
                <c:pt idx="0">
                  <c:v>Commission Earned - Traditional English Trifle</c:v>
                </c:pt>
              </c:strCache>
            </c:strRef>
          </c:tx>
          <c:spPr>
            <a:solidFill>
              <a:schemeClr val="accent6"/>
            </a:solidFill>
            <a:ln>
              <a:noFill/>
            </a:ln>
            <a:effectLst/>
          </c:spPr>
          <c:invertIfNegative val="0"/>
          <c:cat>
            <c:strRef>
              <c:f>'Power Pivot-Key Facts'!$A$7:$A$12</c:f>
              <c:strCache>
                <c:ptCount val="5"/>
                <c:pt idx="0">
                  <c:v>Chanandler Bong</c:v>
                </c:pt>
                <c:pt idx="1">
                  <c:v>Ken Adams</c:v>
                </c:pt>
                <c:pt idx="2">
                  <c:v>Monique Bingette</c:v>
                </c:pt>
                <c:pt idx="3">
                  <c:v>Rachella Green</c:v>
                </c:pt>
                <c:pt idx="4">
                  <c:v>Russ Geller</c:v>
                </c:pt>
              </c:strCache>
            </c:strRef>
          </c:cat>
          <c:val>
            <c:numRef>
              <c:f>'Power Pivot-Key Facts'!$G$7:$G$12</c:f>
              <c:numCache>
                <c:formatCode>General</c:formatCode>
                <c:ptCount val="5"/>
                <c:pt idx="0">
                  <c:v>3895.8550221829091</c:v>
                </c:pt>
                <c:pt idx="1">
                  <c:v>3848.9521084709836</c:v>
                </c:pt>
                <c:pt idx="2">
                  <c:v>3539.5819326405044</c:v>
                </c:pt>
                <c:pt idx="3">
                  <c:v>3700.4549851417396</c:v>
                </c:pt>
                <c:pt idx="4">
                  <c:v>3795.0461522189412</c:v>
                </c:pt>
              </c:numCache>
            </c:numRef>
          </c:val>
          <c:extLst>
            <c:ext xmlns:c16="http://schemas.microsoft.com/office/drawing/2014/chart" uri="{C3380CC4-5D6E-409C-BE32-E72D297353CC}">
              <c16:uniqueId val="{0000004B-48D8-49CB-A917-D45D53365CBE}"/>
            </c:ext>
          </c:extLst>
        </c:ser>
        <c:dLbls>
          <c:showLegendKey val="0"/>
          <c:showVal val="0"/>
          <c:showCatName val="0"/>
          <c:showSerName val="0"/>
          <c:showPercent val="0"/>
          <c:showBubbleSize val="0"/>
        </c:dLbls>
        <c:gapWidth val="97"/>
        <c:overlap val="100"/>
        <c:axId val="1737757472"/>
        <c:axId val="961846208"/>
      </c:barChart>
      <c:catAx>
        <c:axId val="173775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1846208"/>
        <c:crosses val="autoZero"/>
        <c:auto val="1"/>
        <c:lblAlgn val="ctr"/>
        <c:lblOffset val="200"/>
        <c:noMultiLvlLbl val="0"/>
      </c:catAx>
      <c:valAx>
        <c:axId val="961846208"/>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57472"/>
        <c:crosses val="autoZero"/>
        <c:crossBetween val="between"/>
      </c:valAx>
      <c:spPr>
        <a:noFill/>
        <a:ln cap="flat">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Nirbhik singh.xlsx]Data visualization(Dashboard)!PivotTable32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1"/>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8530584003799"/>
          <c:y val="0.13100772761970492"/>
          <c:w val="0.58099749250093746"/>
          <c:h val="0.4995637490706154"/>
        </c:manualLayout>
      </c:layout>
      <c:barChart>
        <c:barDir val="col"/>
        <c:grouping val="stacked"/>
        <c:varyColors val="0"/>
        <c:ser>
          <c:idx val="1"/>
          <c:order val="1"/>
          <c:tx>
            <c:strRef>
              <c:f>'Data visualization(Dashboard)'!$T$2</c:f>
              <c:strCache>
                <c:ptCount val="1"/>
                <c:pt idx="0">
                  <c:v>Sum of Commission earned</c:v>
                </c:pt>
              </c:strCache>
            </c:strRef>
          </c:tx>
          <c:spPr>
            <a:solidFill>
              <a:srgbClr val="002060"/>
            </a:solidFill>
            <a:ln>
              <a:solidFill>
                <a:schemeClr val="accent1"/>
              </a:solidFill>
              <a:prstDash val="sysDash"/>
            </a:ln>
            <a:effectLst/>
          </c:spPr>
          <c:invertIfNegative val="0"/>
          <c:cat>
            <c:strRef>
              <c:f>'Data visualization(Dashboard)'!$R$3:$R$8</c:f>
              <c:strCache>
                <c:ptCount val="5"/>
                <c:pt idx="0">
                  <c:v>Chanandler Bong</c:v>
                </c:pt>
                <c:pt idx="1">
                  <c:v>Ken Adams</c:v>
                </c:pt>
                <c:pt idx="2">
                  <c:v>Monique Bingette</c:v>
                </c:pt>
                <c:pt idx="3">
                  <c:v>Rachella Green</c:v>
                </c:pt>
                <c:pt idx="4">
                  <c:v>Russ Geller</c:v>
                </c:pt>
              </c:strCache>
            </c:strRef>
          </c:cat>
          <c:val>
            <c:numRef>
              <c:f>'Data visualization(Dashboard)'!$T$3:$T$8</c:f>
              <c:numCache>
                <c:formatCode>0.000</c:formatCode>
                <c:ptCount val="5"/>
                <c:pt idx="0">
                  <c:v>10700.577499999998</c:v>
                </c:pt>
                <c:pt idx="1">
                  <c:v>10577.227599999998</c:v>
                </c:pt>
                <c:pt idx="2">
                  <c:v>10775.932100000004</c:v>
                </c:pt>
                <c:pt idx="3">
                  <c:v>11188.012000000002</c:v>
                </c:pt>
                <c:pt idx="4">
                  <c:v>10243.149500000001</c:v>
                </c:pt>
              </c:numCache>
            </c:numRef>
          </c:val>
          <c:extLst>
            <c:ext xmlns:c16="http://schemas.microsoft.com/office/drawing/2014/chart" uri="{C3380CC4-5D6E-409C-BE32-E72D297353CC}">
              <c16:uniqueId val="{00000003-85E5-4488-A439-8ADE3EBF14D3}"/>
            </c:ext>
          </c:extLst>
        </c:ser>
        <c:dLbls>
          <c:showLegendKey val="0"/>
          <c:showVal val="0"/>
          <c:showCatName val="0"/>
          <c:showSerName val="0"/>
          <c:showPercent val="0"/>
          <c:showBubbleSize val="0"/>
        </c:dLbls>
        <c:gapWidth val="150"/>
        <c:overlap val="100"/>
        <c:axId val="240607423"/>
        <c:axId val="244439087"/>
      </c:barChart>
      <c:lineChart>
        <c:grouping val="standard"/>
        <c:varyColors val="0"/>
        <c:ser>
          <c:idx val="0"/>
          <c:order val="0"/>
          <c:tx>
            <c:strRef>
              <c:f>'Data visualization(Dashboard)'!$S$2</c:f>
              <c:strCache>
                <c:ptCount val="1"/>
                <c:pt idx="0">
                  <c:v>Sum of Sales</c:v>
                </c:pt>
              </c:strCache>
            </c:strRef>
          </c:tx>
          <c:spPr>
            <a:ln w="28575" cap="rnd">
              <a:solidFill>
                <a:schemeClr val="accent6"/>
              </a:solidFill>
              <a:prstDash val="dash"/>
              <a:round/>
            </a:ln>
            <a:effectLst/>
          </c:spPr>
          <c:marker>
            <c:symbol val="none"/>
          </c:marker>
          <c:cat>
            <c:strRef>
              <c:f>'Data visualization(Dashboard)'!$R$3:$R$8</c:f>
              <c:strCache>
                <c:ptCount val="5"/>
                <c:pt idx="0">
                  <c:v>Chanandler Bong</c:v>
                </c:pt>
                <c:pt idx="1">
                  <c:v>Ken Adams</c:v>
                </c:pt>
                <c:pt idx="2">
                  <c:v>Monique Bingette</c:v>
                </c:pt>
                <c:pt idx="3">
                  <c:v>Rachella Green</c:v>
                </c:pt>
                <c:pt idx="4">
                  <c:v>Russ Geller</c:v>
                </c:pt>
              </c:strCache>
            </c:strRef>
          </c:cat>
          <c:val>
            <c:numRef>
              <c:f>'Data visualization(Dashboard)'!$S$3:$S$8</c:f>
              <c:numCache>
                <c:formatCode>General</c:formatCode>
                <c:ptCount val="5"/>
                <c:pt idx="0">
                  <c:v>214622</c:v>
                </c:pt>
                <c:pt idx="1">
                  <c:v>208918</c:v>
                </c:pt>
                <c:pt idx="2">
                  <c:v>218843</c:v>
                </c:pt>
                <c:pt idx="3">
                  <c:v>227461</c:v>
                </c:pt>
                <c:pt idx="4">
                  <c:v>208660</c:v>
                </c:pt>
              </c:numCache>
            </c:numRef>
          </c:val>
          <c:smooth val="0"/>
          <c:extLst>
            <c:ext xmlns:c16="http://schemas.microsoft.com/office/drawing/2014/chart" uri="{C3380CC4-5D6E-409C-BE32-E72D297353CC}">
              <c16:uniqueId val="{00000000-85E5-4488-A439-8ADE3EBF14D3}"/>
            </c:ext>
          </c:extLst>
        </c:ser>
        <c:dLbls>
          <c:showLegendKey val="0"/>
          <c:showVal val="0"/>
          <c:showCatName val="0"/>
          <c:showSerName val="0"/>
          <c:showPercent val="0"/>
          <c:showBubbleSize val="0"/>
        </c:dLbls>
        <c:marker val="1"/>
        <c:smooth val="0"/>
        <c:axId val="240604063"/>
        <c:axId val="74664624"/>
      </c:lineChart>
      <c:catAx>
        <c:axId val="24060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664624"/>
        <c:crosses val="autoZero"/>
        <c:auto val="1"/>
        <c:lblAlgn val="ctr"/>
        <c:lblOffset val="100"/>
        <c:noMultiLvlLbl val="0"/>
      </c:catAx>
      <c:valAx>
        <c:axId val="7466462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040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44439087"/>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07423"/>
        <c:crosses val="max"/>
        <c:crossBetween val="between"/>
        <c:majorUnit val="300"/>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240607423"/>
        <c:scaling>
          <c:orientation val="minMax"/>
        </c:scaling>
        <c:delete val="1"/>
        <c:axPos val="b"/>
        <c:numFmt formatCode="General" sourceLinked="1"/>
        <c:majorTickMark val="out"/>
        <c:minorTickMark val="none"/>
        <c:tickLblPos val="nextTo"/>
        <c:crossAx val="2444390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3841043307086E-2"/>
          <c:y val="8.507347254447023E-2"/>
          <c:w val="0.83402766143593754"/>
          <c:h val="0.73551223730444371"/>
        </c:manualLayout>
      </c:layout>
      <c:barChart>
        <c:barDir val="bar"/>
        <c:grouping val="stacked"/>
        <c:varyColors val="0"/>
        <c:ser>
          <c:idx val="0"/>
          <c:order val="0"/>
          <c:tx>
            <c:strRef>
              <c:f>'Data visualization(Dashboard)'!$S$19</c:f>
              <c:strCache>
                <c:ptCount val="1"/>
                <c:pt idx="0">
                  <c:v>Met the Target</c:v>
                </c:pt>
              </c:strCache>
            </c:strRef>
          </c:tx>
          <c:spPr>
            <a:solidFill>
              <a:srgbClr val="FFC000"/>
            </a:solidFill>
            <a:ln>
              <a:noFill/>
            </a:ln>
            <a:effectLst/>
          </c:spPr>
          <c:invertIfNegative val="0"/>
          <c:dPt>
            <c:idx val="3"/>
            <c:invertIfNegative val="0"/>
            <c:bubble3D val="0"/>
            <c:spPr>
              <a:solidFill>
                <a:srgbClr val="002060"/>
              </a:solidFill>
              <a:ln>
                <a:noFill/>
              </a:ln>
              <a:effectLst/>
            </c:spPr>
            <c:extLst>
              <c:ext xmlns:c16="http://schemas.microsoft.com/office/drawing/2014/chart" uri="{C3380CC4-5D6E-409C-BE32-E72D297353CC}">
                <c16:uniqueId val="{00000010-0A39-4A8B-9469-C1506FFF69E1}"/>
              </c:ext>
            </c:extLst>
          </c:dPt>
          <c:dLbls>
            <c:dLbl>
              <c:idx val="3"/>
              <c:layout>
                <c:manualLayout>
                  <c:x val="0.28109028960817717"/>
                  <c:y val="-3.54468707415869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A39-4A8B-9469-C1506FFF69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visualization(Dashboard)'!$S$20:$S$24</c:f>
              <c:numCache>
                <c:formatCode>General</c:formatCode>
                <c:ptCount val="5"/>
                <c:pt idx="0">
                  <c:v>214622</c:v>
                </c:pt>
                <c:pt idx="1">
                  <c:v>208918</c:v>
                </c:pt>
                <c:pt idx="2">
                  <c:v>218843</c:v>
                </c:pt>
                <c:pt idx="3">
                  <c:v>227461</c:v>
                </c:pt>
                <c:pt idx="4">
                  <c:v>208660</c:v>
                </c:pt>
              </c:numCache>
            </c:numRef>
          </c:val>
          <c:extLst>
            <c:ext xmlns:c16="http://schemas.microsoft.com/office/drawing/2014/chart" uri="{C3380CC4-5D6E-409C-BE32-E72D297353CC}">
              <c16:uniqueId val="{00000000-0A39-4A8B-9469-C1506FFF69E1}"/>
            </c:ext>
          </c:extLst>
        </c:ser>
        <c:ser>
          <c:idx val="1"/>
          <c:order val="1"/>
          <c:tx>
            <c:v>Exceeded the target</c:v>
          </c:tx>
          <c:spPr>
            <a:solidFill>
              <a:schemeClr val="accent6">
                <a:lumMod val="75000"/>
              </a:schemeClr>
            </a:solidFill>
            <a:ln>
              <a:noFill/>
            </a:ln>
            <a:effectLst/>
          </c:spPr>
          <c:invertIfNegative val="0"/>
          <c:val>
            <c:numRef>
              <c:f>'Data visualization(Dashboard)'!$T$20:$T$24</c:f>
              <c:numCache>
                <c:formatCode>General</c:formatCode>
                <c:ptCount val="5"/>
                <c:pt idx="0">
                  <c:v>0</c:v>
                </c:pt>
                <c:pt idx="1">
                  <c:v>0</c:v>
                </c:pt>
                <c:pt idx="2">
                  <c:v>0</c:v>
                </c:pt>
                <c:pt idx="3" formatCode="0">
                  <c:v>2461</c:v>
                </c:pt>
                <c:pt idx="4">
                  <c:v>0</c:v>
                </c:pt>
              </c:numCache>
            </c:numRef>
          </c:val>
          <c:extLst>
            <c:ext xmlns:c16="http://schemas.microsoft.com/office/drawing/2014/chart" uri="{C3380CC4-5D6E-409C-BE32-E72D297353CC}">
              <c16:uniqueId val="{00000001-0A39-4A8B-9469-C1506FFF69E1}"/>
            </c:ext>
          </c:extLst>
        </c:ser>
        <c:ser>
          <c:idx val="2"/>
          <c:order val="2"/>
          <c:tx>
            <c:strRef>
              <c:f>'Data visualization(Dashboard)'!$U$19</c:f>
              <c:strCache>
                <c:ptCount val="1"/>
                <c:pt idx="0">
                  <c:v> Unmet the target</c:v>
                </c:pt>
              </c:strCache>
            </c:strRef>
          </c:tx>
          <c:spPr>
            <a:solidFill>
              <a:schemeClr val="accent6">
                <a:alpha val="90000"/>
              </a:schemeClr>
            </a:solidFill>
            <a:ln>
              <a:noFill/>
            </a:ln>
            <a:effectLst>
              <a:outerShdw blurRad="50800" dist="50800" dir="5400000" sx="1000" sy="1000" algn="ctr" rotWithShape="0">
                <a:srgbClr val="000000"/>
              </a:outerShdw>
              <a:softEdge rad="0"/>
            </a:effectLst>
          </c:spPr>
          <c:invertIfNegative val="0"/>
          <c:val>
            <c:numRef>
              <c:f>'Data visualization(Dashboard)'!$U$20:$U$24</c:f>
              <c:numCache>
                <c:formatCode>General</c:formatCode>
                <c:ptCount val="5"/>
                <c:pt idx="0">
                  <c:v>10378</c:v>
                </c:pt>
                <c:pt idx="1">
                  <c:v>16082</c:v>
                </c:pt>
                <c:pt idx="2">
                  <c:v>6157</c:v>
                </c:pt>
                <c:pt idx="3">
                  <c:v>0</c:v>
                </c:pt>
                <c:pt idx="4">
                  <c:v>16340</c:v>
                </c:pt>
              </c:numCache>
            </c:numRef>
          </c:val>
          <c:extLst>
            <c:ext xmlns:c16="http://schemas.microsoft.com/office/drawing/2014/chart" uri="{C3380CC4-5D6E-409C-BE32-E72D297353CC}">
              <c16:uniqueId val="{00000002-0A39-4A8B-9469-C1506FFF69E1}"/>
            </c:ext>
          </c:extLst>
        </c:ser>
        <c:dLbls>
          <c:showLegendKey val="0"/>
          <c:showVal val="0"/>
          <c:showCatName val="0"/>
          <c:showSerName val="0"/>
          <c:showPercent val="0"/>
          <c:showBubbleSize val="0"/>
        </c:dLbls>
        <c:gapWidth val="0"/>
        <c:overlap val="100"/>
        <c:axId val="10254768"/>
        <c:axId val="1816190528"/>
      </c:barChart>
      <c:catAx>
        <c:axId val="10254768"/>
        <c:scaling>
          <c:orientation val="minMax"/>
        </c:scaling>
        <c:delete val="1"/>
        <c:axPos val="l"/>
        <c:majorTickMark val="none"/>
        <c:minorTickMark val="none"/>
        <c:tickLblPos val="nextTo"/>
        <c:crossAx val="1816190528"/>
        <c:crosses val="autoZero"/>
        <c:auto val="1"/>
        <c:lblAlgn val="ctr"/>
        <c:lblOffset val="100"/>
        <c:noMultiLvlLbl val="0"/>
      </c:catAx>
      <c:valAx>
        <c:axId val="1816190528"/>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768"/>
        <c:crosses val="autoZero"/>
        <c:crossBetween val="between"/>
        <c:dispUnits>
          <c:builtInUnit val="thousands"/>
        </c:dispUnits>
      </c:valAx>
      <c:spPr>
        <a:noFill/>
        <a:ln>
          <a:noFill/>
        </a:ln>
        <a:effectLst/>
      </c:spPr>
    </c:plotArea>
    <c:legend>
      <c:legendPos val="r"/>
      <c:layout>
        <c:manualLayout>
          <c:xMode val="edge"/>
          <c:yMode val="edge"/>
          <c:x val="0.71231494012467189"/>
          <c:y val="0.40477434520220934"/>
          <c:w val="0.28768505987532811"/>
          <c:h val="0.40700196698150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waterfall" uniqueId="{00000002-9B9B-47A8-81E3-A4B0FFF0B610}" formatIdx="1">
          <cx:tx>
            <cx:txData>
              <cx:f>_xlchart.v1.0</cx:f>
              <cx:v>Sales  Commission  Revenue Cost  Net Proceed</cx:v>
            </cx:txData>
          </cx:tx>
          <cx:spPr>
            <a:ln>
              <a:noFill/>
            </a:ln>
          </cx:spPr>
          <cx:dataPt idx="0">
            <cx:spPr>
              <a:solidFill>
                <a:srgbClr val="FFC000"/>
              </a:solidFill>
            </cx:spPr>
          </cx:dataPt>
          <cx:dataPt idx="1">
            <cx:spPr>
              <a:solidFill>
                <a:srgbClr val="4F81BD"/>
              </a:solidFill>
            </cx:spPr>
          </cx:dataPt>
          <cx:dataPt idx="2">
            <cx:spPr>
              <a:solidFill>
                <a:srgbClr val="4F81BD">
                  <a:lumMod val="40000"/>
                  <a:lumOff val="60000"/>
                </a:srgbClr>
              </a:solidFill>
            </cx:spPr>
          </cx:dataPt>
          <cx:dataPt idx="3">
            <cx:spPr>
              <a:solidFill>
                <a:sysClr val="windowText" lastClr="000000"/>
              </a:solidFill>
            </cx:spPr>
          </cx:dataPt>
          <cx:dataPt idx="4">
            <cx:spPr>
              <a:solidFill>
                <a:srgbClr val="F79646"/>
              </a:solidFill>
            </cx:spPr>
          </cx:dataPt>
          <cx:dataLabels>
            <cx:numFmt formatCode="#,##0.00" sourceLinked="0"/>
            <cx:spPr>
              <a:noFill/>
              <a:ln>
                <a:noFill/>
              </a:ln>
            </cx:spPr>
            <cx:visibility seriesName="0" categoryName="0" value="1"/>
            <cx:separator>, </cx:separator>
          </cx:dataLabels>
          <cx:dataId val="0"/>
          <cx:layoutPr>
            <cx:visibility connectorLines="1"/>
            <cx:subtotals>
              <cx:idx val="5"/>
            </cx:subtotals>
          </cx:layoutPr>
        </cx:series>
      </cx:plotAreaRegion>
      <cx:axis id="0">
        <cx:catScaling gapWidth="0.5"/>
        <cx:tickLabels/>
        <cx:spPr>
          <a:ln>
            <a:noFill/>
          </a:ln>
        </cx:spPr>
      </cx:axis>
      <cx:axis id="1">
        <cx:valScaling/>
        <cx:units unit="thousands"/>
        <cx:tickLabels/>
        <cx:numFmt formatCode="$#,##0" sourceLinked="0"/>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281940</xdr:colOff>
      <xdr:row>17</xdr:row>
      <xdr:rowOff>87630</xdr:rowOff>
    </xdr:from>
    <xdr:to>
      <xdr:col>8</xdr:col>
      <xdr:colOff>601980</xdr:colOff>
      <xdr:row>31</xdr:row>
      <xdr:rowOff>91440</xdr:rowOff>
    </xdr:to>
    <xdr:graphicFrame macro="">
      <xdr:nvGraphicFramePr>
        <xdr:cNvPr id="5" name="Chart 4">
          <a:extLst>
            <a:ext uri="{FF2B5EF4-FFF2-40B4-BE49-F238E27FC236}">
              <a16:creationId xmlns:a16="http://schemas.microsoft.com/office/drawing/2014/main" id="{2CA65831-5E66-6A9A-85D3-C3C385FE0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99060</xdr:rowOff>
    </xdr:from>
    <xdr:to>
      <xdr:col>3</xdr:col>
      <xdr:colOff>327660</xdr:colOff>
      <xdr:row>25</xdr:row>
      <xdr:rowOff>7620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EFD4947B-4190-A586-3BDF-F6DAE612B9B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3322320"/>
              <a:ext cx="31775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25</xdr:row>
      <xdr:rowOff>1</xdr:rowOff>
    </xdr:from>
    <xdr:to>
      <xdr:col>1</xdr:col>
      <xdr:colOff>708660</xdr:colOff>
      <xdr:row>34</xdr:row>
      <xdr:rowOff>15240</xdr:rowOff>
    </xdr:to>
    <mc:AlternateContent xmlns:mc="http://schemas.openxmlformats.org/markup-compatibility/2006" xmlns:a14="http://schemas.microsoft.com/office/drawing/2010/main">
      <mc:Choice Requires="a14">
        <xdr:graphicFrame macro="">
          <xdr:nvGraphicFramePr>
            <xdr:cNvPr id="14" name="Manager names">
              <a:extLst>
                <a:ext uri="{FF2B5EF4-FFF2-40B4-BE49-F238E27FC236}">
                  <a16:creationId xmlns:a16="http://schemas.microsoft.com/office/drawing/2014/main" id="{771C4C0B-9388-FA7C-DD10-1F068E458FE4}"/>
                </a:ext>
              </a:extLst>
            </xdr:cNvPr>
            <xdr:cNvGraphicFramePr/>
          </xdr:nvGraphicFramePr>
          <xdr:xfrm>
            <a:off x="0" y="0"/>
            <a:ext cx="0" cy="0"/>
          </xdr:xfrm>
          <a:graphic>
            <a:graphicData uri="http://schemas.microsoft.com/office/drawing/2010/slicer">
              <sle:slicer xmlns:sle="http://schemas.microsoft.com/office/drawing/2010/slicer" name="Manager names"/>
            </a:graphicData>
          </a:graphic>
        </xdr:graphicFrame>
      </mc:Choice>
      <mc:Fallback xmlns="">
        <xdr:sp macro="" textlink="">
          <xdr:nvSpPr>
            <xdr:cNvPr id="0" name=""/>
            <xdr:cNvSpPr>
              <a:spLocks noTextEdit="1"/>
            </xdr:cNvSpPr>
          </xdr:nvSpPr>
          <xdr:spPr>
            <a:xfrm>
              <a:off x="0" y="4686301"/>
              <a:ext cx="1828800" cy="1661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18</xdr:row>
      <xdr:rowOff>76201</xdr:rowOff>
    </xdr:from>
    <xdr:to>
      <xdr:col>4</xdr:col>
      <xdr:colOff>769620</xdr:colOff>
      <xdr:row>24</xdr:row>
      <xdr:rowOff>83820</xdr:rowOff>
    </xdr:to>
    <mc:AlternateContent xmlns:mc="http://schemas.openxmlformats.org/markup-compatibility/2006" xmlns:a14="http://schemas.microsoft.com/office/drawing/2010/main">
      <mc:Choice Requires="a14">
        <xdr:graphicFrame macro="">
          <xdr:nvGraphicFramePr>
            <xdr:cNvPr id="15" name="Product Description">
              <a:extLst>
                <a:ext uri="{FF2B5EF4-FFF2-40B4-BE49-F238E27FC236}">
                  <a16:creationId xmlns:a16="http://schemas.microsoft.com/office/drawing/2014/main" id="{C15621FD-BC71-25EF-71C2-842D882911DF}"/>
                </a:ext>
              </a:extLst>
            </xdr:cNvPr>
            <xdr:cNvGraphicFramePr/>
          </xdr:nvGraphicFramePr>
          <xdr:xfrm>
            <a:off x="0" y="0"/>
            <a:ext cx="0" cy="0"/>
          </xdr:xfrm>
          <a:graphic>
            <a:graphicData uri="http://schemas.microsoft.com/office/drawing/2010/slicer">
              <sle:slicer xmlns:sle="http://schemas.microsoft.com/office/drawing/2010/slicer" name="Product Description"/>
            </a:graphicData>
          </a:graphic>
        </xdr:graphicFrame>
      </mc:Choice>
      <mc:Fallback xmlns="">
        <xdr:sp macro="" textlink="">
          <xdr:nvSpPr>
            <xdr:cNvPr id="0" name=""/>
            <xdr:cNvSpPr>
              <a:spLocks noTextEdit="1"/>
            </xdr:cNvSpPr>
          </xdr:nvSpPr>
          <xdr:spPr>
            <a:xfrm>
              <a:off x="3208020" y="348234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754380</xdr:colOff>
      <xdr:row>25</xdr:row>
      <xdr:rowOff>38101</xdr:rowOff>
    </xdr:from>
    <xdr:to>
      <xdr:col>4</xdr:col>
      <xdr:colOff>1165860</xdr:colOff>
      <xdr:row>30</xdr:row>
      <xdr:rowOff>30480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181A4022-BAFD-2BE5-2667-E2087C9E5D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04260" y="4724401"/>
              <a:ext cx="182880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701040</xdr:colOff>
      <xdr:row>25</xdr:row>
      <xdr:rowOff>1</xdr:rowOff>
    </xdr:from>
    <xdr:to>
      <xdr:col>3</xdr:col>
      <xdr:colOff>800100</xdr:colOff>
      <xdr:row>32</xdr:row>
      <xdr:rowOff>22861</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5B4C46BA-310F-741B-DDB5-DEDA5400003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21180" y="4686301"/>
              <a:ext cx="182880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68580</xdr:rowOff>
    </xdr:from>
    <xdr:to>
      <xdr:col>6</xdr:col>
      <xdr:colOff>160020</xdr:colOff>
      <xdr:row>12</xdr:row>
      <xdr:rowOff>7620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EF268B1-2121-24C5-3CB2-2F8F11C79B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251460"/>
              <a:ext cx="3208020" cy="1950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1</xdr:row>
      <xdr:rowOff>15240</xdr:rowOff>
    </xdr:from>
    <xdr:to>
      <xdr:col>13</xdr:col>
      <xdr:colOff>731520</xdr:colOff>
      <xdr:row>14</xdr:row>
      <xdr:rowOff>0</xdr:rowOff>
    </xdr:to>
    <xdr:graphicFrame macro="">
      <xdr:nvGraphicFramePr>
        <xdr:cNvPr id="6" name="Chart 5">
          <a:extLst>
            <a:ext uri="{FF2B5EF4-FFF2-40B4-BE49-F238E27FC236}">
              <a16:creationId xmlns:a16="http://schemas.microsoft.com/office/drawing/2014/main" id="{6621FA92-C7B9-D588-DCFE-012B41593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327660</xdr:colOff>
      <xdr:row>14</xdr:row>
      <xdr:rowOff>68580</xdr:rowOff>
    </xdr:from>
    <xdr:to>
      <xdr:col>7</xdr:col>
      <xdr:colOff>312420</xdr:colOff>
      <xdr:row>27</xdr:row>
      <xdr:rowOff>7620</xdr:rowOff>
    </xdr:to>
    <xdr:graphicFrame macro="">
      <xdr:nvGraphicFramePr>
        <xdr:cNvPr id="5" name="Chart 4">
          <a:extLst>
            <a:ext uri="{FF2B5EF4-FFF2-40B4-BE49-F238E27FC236}">
              <a16:creationId xmlns:a16="http://schemas.microsoft.com/office/drawing/2014/main" id="{287A6BC1-6E2F-610C-0DDA-6A1208420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0.31333</cdr:x>
      <cdr:y>0</cdr:y>
    </cdr:from>
    <cdr:to>
      <cdr:x>0.585</cdr:x>
      <cdr:y>0.11395</cdr:y>
    </cdr:to>
    <cdr:sp macro="" textlink="">
      <cdr:nvSpPr>
        <cdr:cNvPr id="2" name="TextBox 1">
          <a:extLst xmlns:a="http://schemas.openxmlformats.org/drawingml/2006/main">
            <a:ext uri="{FF2B5EF4-FFF2-40B4-BE49-F238E27FC236}">
              <a16:creationId xmlns:a16="http://schemas.microsoft.com/office/drawing/2014/main" id="{5EFB5748-8F37-6A50-145F-1F4F7DD049C6}"/>
            </a:ext>
          </a:extLst>
        </cdr:cNvPr>
        <cdr:cNvSpPr txBox="1"/>
      </cdr:nvSpPr>
      <cdr:spPr>
        <a:xfrm xmlns:a="http://schemas.openxmlformats.org/drawingml/2006/main" rot="10800000" flipV="1">
          <a:off x="1432560" y="0"/>
          <a:ext cx="1242060" cy="476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baseline="0">
            <a:solidFill>
              <a:schemeClr val="accent6"/>
            </a:solidFill>
          </a:endParaRPr>
        </a:p>
        <a:p xmlns:a="http://schemas.openxmlformats.org/drawingml/2006/main">
          <a:endParaRPr lang="en-US" sz="1100" baseline="0">
            <a:solidFill>
              <a:schemeClr val="accent6"/>
            </a:solidFill>
          </a:endParaRPr>
        </a:p>
        <a:p xmlns:a="http://schemas.openxmlformats.org/drawingml/2006/main">
          <a:endParaRPr lang="en-US" sz="1100"/>
        </a:p>
      </cdr:txBody>
    </cdr:sp>
  </cdr:relSizeAnchor>
  <cdr:relSizeAnchor xmlns:cdr="http://schemas.openxmlformats.org/drawingml/2006/chartDrawing">
    <cdr:from>
      <cdr:x>0.33786</cdr:x>
      <cdr:y>0.14557</cdr:y>
    </cdr:from>
    <cdr:to>
      <cdr:x>0.55146</cdr:x>
      <cdr:y>0.26899</cdr:y>
    </cdr:to>
    <cdr:sp macro="" textlink="">
      <cdr:nvSpPr>
        <cdr:cNvPr id="4" name="TextBox 3">
          <a:extLst xmlns:a="http://schemas.openxmlformats.org/drawingml/2006/main">
            <a:ext uri="{FF2B5EF4-FFF2-40B4-BE49-F238E27FC236}">
              <a16:creationId xmlns:a16="http://schemas.microsoft.com/office/drawing/2014/main" id="{BBC285CF-D677-C467-1AA6-D6EBCE0B7166}"/>
            </a:ext>
          </a:extLst>
        </cdr:cNvPr>
        <cdr:cNvSpPr txBox="1"/>
      </cdr:nvSpPr>
      <cdr:spPr>
        <a:xfrm xmlns:a="http://schemas.openxmlformats.org/drawingml/2006/main" rot="19583478">
          <a:off x="1325880" y="350520"/>
          <a:ext cx="838200"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accent6"/>
              </a:solidFill>
            </a:rPr>
            <a:t>Sales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bhik singh" refreshedDate="45314.671160995371" backgroundQuery="1" createdVersion="8" refreshedVersion="8" minRefreshableVersion="3" recordCount="119" xr:uid="{728289F4-CE65-4054-B393-B50CAB409DEB}">
  <cacheSource type="external" connectionId="3"/>
  <cacheFields count="5">
    <cacheField name="Year" numFmtId="0">
      <sharedItems containsSemiMixedTypes="0" containsString="0" containsNumber="1" containsInteger="1" minValue="2022" maxValue="2023" count="2">
        <n v="2022"/>
        <n v="2023"/>
      </sharedItems>
    </cacheField>
    <cacheField name="Month" numFmtId="0">
      <sharedItems count="12">
        <s v="january"/>
        <s v="february"/>
        <s v="march"/>
        <s v="april"/>
        <s v="may"/>
        <s v="june"/>
        <s v="july"/>
        <s v="august"/>
        <s v="september"/>
        <s v="october"/>
        <s v="november"/>
        <s v="december"/>
      </sharedItems>
    </cacheField>
    <cacheField name="Manager names" numFmtId="0">
      <sharedItems count="5">
        <s v="Russ Geller"/>
        <s v="Monique Bingette"/>
        <s v="Rachella Green"/>
        <s v="Ken Adams"/>
        <s v="Chanandler Bong"/>
      </sharedItems>
    </cacheField>
    <cacheField name="Sales" numFmtId="0">
      <sharedItems containsSemiMixedTypes="0" containsString="0" containsNumber="1" containsInteger="1" minValue="1084" maxValue="20115" count="119">
        <n v="17562"/>
        <n v="11058"/>
        <n v="8751"/>
        <n v="12969"/>
        <n v="10390"/>
        <n v="10391"/>
        <n v="8688"/>
        <n v="20115"/>
        <n v="9055"/>
        <n v="11022"/>
        <n v="5506"/>
        <n v="5343"/>
        <n v="10099"/>
        <n v="11247"/>
        <n v="16035"/>
        <n v="5630"/>
        <n v="2896"/>
        <n v="9139"/>
        <n v="6076"/>
        <n v="4569"/>
        <n v="4453"/>
        <n v="3514"/>
        <n v="4152"/>
        <n v="9045"/>
        <n v="11836"/>
        <n v="10226"/>
        <n v="8949"/>
        <n v="8344"/>
        <n v="7568"/>
        <n v="13135"/>
        <n v="11782"/>
        <n v="13212"/>
        <n v="4558"/>
        <n v="10888"/>
        <n v="3437"/>
        <n v="6250"/>
        <n v="6567"/>
        <n v="11987"/>
        <n v="15224"/>
        <n v="4565"/>
        <n v="5600"/>
        <n v="16833"/>
        <n v="9739"/>
        <n v="3935"/>
        <n v="12047"/>
        <n v="7084"/>
        <n v="6032"/>
        <n v="15934"/>
        <n v="14307"/>
        <n v="11220"/>
        <n v="12375"/>
        <n v="14455"/>
        <n v="12289"/>
        <n v="16675"/>
        <n v="13890"/>
        <n v="15882"/>
        <n v="13880"/>
        <n v="3599"/>
        <n v="7186"/>
        <n v="9587"/>
        <n v="8670"/>
        <n v="8467"/>
        <n v="8663"/>
        <n v="3197"/>
        <n v="12748"/>
        <n v="6912"/>
        <n v="6191"/>
        <n v="4792"/>
        <n v="2740"/>
        <n v="1084"/>
        <n v="2718"/>
        <n v="15587"/>
        <n v="13632"/>
        <n v="13480"/>
        <n v="7263"/>
        <n v="7504"/>
        <n v="4956"/>
        <n v="12270"/>
        <n v="18924"/>
        <n v="15871"/>
        <n v="12912"/>
        <n v="14491"/>
        <n v="5143"/>
        <n v="5979"/>
        <n v="3898"/>
        <n v="12072"/>
        <n v="5850"/>
        <n v="11309"/>
        <n v="4008"/>
        <n v="4421"/>
        <n v="7215"/>
        <n v="4761"/>
        <n v="3839"/>
        <n v="2447"/>
        <n v="1086"/>
        <n v="8598"/>
        <n v="19678"/>
        <n v="12185"/>
        <n v="10862"/>
        <n v="10285"/>
        <n v="7495"/>
        <n v="11851"/>
        <n v="7822"/>
        <n v="7583"/>
        <n v="6179"/>
        <n v="7931"/>
        <n v="5616"/>
        <n v="5962"/>
        <n v="6619"/>
        <n v="11175"/>
        <n v="14428"/>
        <n v="10537"/>
        <n v="10429"/>
        <n v="17121"/>
        <n v="10436"/>
        <n v="3302"/>
        <n v="2392"/>
        <n v="2494"/>
        <n v="3642"/>
      </sharedItems>
    </cacheField>
    <cacheField name="Commission earned" numFmtId="0">
      <sharedItems containsSemiMixedTypes="0" containsString="0" containsNumber="1" minValue="59.311100000000003" maxValue="1102.7547999999999" count="119">
        <n v="1042.9276"/>
        <n v="602.05780000000004"/>
        <n v="505.1728"/>
        <n v="534.70920000000001"/>
        <n v="457.3725"/>
        <n v="495.3211"/>
        <n v="547.04290000000003"/>
        <n v="888.94010000000003"/>
        <n v="374.78750000000002"/>
        <n v="456.73770000000002"/>
        <n v="284.7346"/>
        <n v="215.2903"/>
        <n v="512.08029999999997"/>
        <n v="505.28230000000002"/>
        <n v="908.18769999999995"/>
        <n v="270.33609999999999"/>
        <n v="201.4932"/>
        <n v="424.92989999999998"/>
        <n v="210.9408"/>
        <n v="192.45930000000001"/>
        <n v="302.97370000000001"/>
        <n v="180.77420000000001"/>
        <n v="128.59790000000001"/>
        <n v="530.89480000000003"/>
        <n v="581.10730000000001"/>
        <n v="545.97799999999995"/>
        <n v="488.49700000000001"/>
        <n v="323.7944"/>
        <n v="307.14060000000001"/>
        <n v="822.18119999999999"/>
        <n v="650.22879999999998"/>
        <n v="636.88080000000002"/>
        <n v="141.23939999999999"/>
        <n v="389.34809999999999"/>
        <n v="167.81030000000001"/>
        <n v="268.8689"/>
        <n v="260.05689999999998"/>
        <n v="658.64"/>
        <n v="617.59270000000004"/>
        <n v="220.92949999999999"/>
        <n v="206.88409999999999"/>
        <n v="1027.8297"/>
        <n v="513.52359999999999"/>
        <n v="181.74760000000001"/>
        <n v="591.57920000000001"/>
        <n v="342.16899999999998"/>
        <n v="301.0102"/>
        <n v="796.30420000000004"/>
        <n v="785.44240000000002"/>
        <n v="603.17999999999995"/>
        <n v="476.36040000000003"/>
        <n v="619.70190000000002"/>
        <n v="492.92"/>
        <n v="1102.7547999999999"/>
        <n v="809.69740000000002"/>
        <n v="861.22490000000005"/>
        <n v="668.35590000000002"/>
        <n v="117.65130000000001"/>
        <n v="249.66489999999999"/>
        <n v="581.26779999999997"/>
        <n v="333.86349999999999"/>
        <n v="440.25049999999999"/>
        <n v="360.06830000000002"/>
        <n v="128.28809999999999"/>
        <n v="564.25660000000005"/>
        <n v="344.21960000000001"/>
        <n v="314.95400000000001"/>
        <n v="191.36660000000001"/>
        <n v="123.74460000000001"/>
        <n v="59.311100000000003"/>
        <n v="163.16319999999999"/>
        <n v="985.31510000000003"/>
        <n v="587.68280000000004"/>
        <n v="656.68430000000001"/>
        <n v="320.34679999999997"/>
        <n v="351.53949999999998"/>
        <n v="280.4941"/>
        <n v="753.24549999999999"/>
        <n v="998.05589999999995"/>
        <n v="891.82470000000001"/>
        <n v="643.75229999999999"/>
        <n v="568.74279999999999"/>
        <n v="221.23330000000001"/>
        <n v="369.5428"/>
        <n v="145.8844"/>
        <n v="831.93939999999998"/>
        <n v="214.2098"/>
        <n v="389.9538"/>
        <n v="146.89250000000001"/>
        <n v="303.983"/>
        <n v="341.21"/>
        <n v="162.5368"/>
        <n v="254.38069999999999"/>
        <n v="83.650999999999996"/>
        <n v="74.126300000000001"/>
        <n v="533.53290000000004"/>
        <n v="984.81769999999995"/>
        <n v="616.23339999999996"/>
        <n v="435.9932"/>
        <n v="450.48070000000001"/>
        <n v="398.67129999999997"/>
        <n v="722.35530000000006"/>
        <n v="400.95639999999997"/>
        <n v="422.8578"/>
        <n v="284.77269999999999"/>
        <n v="331.0729"/>
        <n v="253.44229999999999"/>
        <n v="363.26130000000001"/>
        <n v="256.8587"/>
        <n v="683.92669999999998"/>
        <n v="667.4348"/>
        <n v="391.12419999999997"/>
        <n v="452.79759999999999"/>
        <n v="939.50450000000001"/>
        <n v="475.43090000000001"/>
        <n v="221.75210000000001"/>
        <n v="104.6056"/>
        <n v="123.8506"/>
        <n v="184.8438999999999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bhik singh" refreshedDate="45315.676254976854" createdVersion="8" refreshedVersion="8" minRefreshableVersion="3" recordCount="360" xr:uid="{C99D49A4-0938-43A6-BD9B-4FD51F62C56F}">
  <cacheSource type="worksheet">
    <worksheetSource name="Table1"/>
  </cacheSource>
  <cacheFields count="13">
    <cacheField name="Date" numFmtId="164">
      <sharedItems containsSemiMixedTypes="0" containsNonDate="0" containsDate="1" containsString="0" minDate="2022-01-31T00:00:00" maxDate="2024-01-01T00:00:00" count="24">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sharedItems>
    </cacheField>
    <cacheField name="Year" numFmtId="0">
      <sharedItems containsSemiMixedTypes="0" containsString="0" containsNumber="1" containsInteger="1" minValue="2022" maxValue="2023" count="2">
        <n v="2022"/>
        <n v="2023"/>
      </sharedItems>
    </cacheField>
    <cacheField name="Month" numFmtId="0">
      <sharedItems containsMixedTypes="1" containsNumber="1" containsInteger="1" minValue="1" maxValue="12" count="24">
        <s v="January"/>
        <s v="February"/>
        <s v="March"/>
        <s v="April"/>
        <s v="May"/>
        <s v="June"/>
        <s v="July"/>
        <s v="August"/>
        <s v="September"/>
        <s v="October"/>
        <s v="November"/>
        <s v="December"/>
        <n v="1" u="1"/>
        <n v="2" u="1"/>
        <n v="3" u="1"/>
        <n v="4" u="1"/>
        <n v="5" u="1"/>
        <n v="6" u="1"/>
        <n v="7" u="1"/>
        <n v="8" u="1"/>
        <n v="9" u="1"/>
        <n v="10" u="1"/>
        <n v="11" u="1"/>
        <n v="12" u="1"/>
      </sharedItems>
    </cacheField>
    <cacheField name="Manager" numFmtId="0">
      <sharedItems/>
    </cacheField>
    <cacheField name="Product" numFmtId="0">
      <sharedItems/>
    </cacheField>
    <cacheField name="Sales" numFmtId="0">
      <sharedItems containsSemiMixedTypes="0" containsString="0" containsNumber="1" containsInteger="1" minValue="1024" maxValue="4971"/>
    </cacheField>
    <cacheField name="Commission" numFmtId="0">
      <sharedItems containsSemiMixedTypes="0" containsString="0" containsNumber="1" minValue="31.24348513880383" maxValue="341.49123922468232"/>
    </cacheField>
    <cacheField name="Manager names" numFmtId="0">
      <sharedItems count="5">
        <s v="Russ Geller"/>
        <s v="Monique Bingette"/>
        <s v="Rachella Green"/>
        <s v="Ken Adams"/>
        <s v="Chanandler Bong"/>
      </sharedItems>
    </cacheField>
    <cacheField name="Product Description" numFmtId="0">
      <sharedItems count="3">
        <s v="Traditional English Trifle"/>
        <s v="Floor Cheesecake"/>
        <s v="Mockolate"/>
      </sharedItems>
    </cacheField>
    <cacheField name="Qualitative Column" numFmtId="0">
      <sharedItems/>
    </cacheField>
    <cacheField name="Revenue" numFmtId="0">
      <sharedItems containsSemiMixedTypes="0" containsString="0" containsNumber="1" minValue="983.71910633602681" maxValue="4772.4754666029021"/>
    </cacheField>
    <cacheField name="Cost" numFmtId="0">
      <sharedItems containsSemiMixedTypes="0" containsString="0" containsNumber="1" minValue="62.486970277607725" maxValue="682.98247844936486"/>
    </cacheField>
    <cacheField name="Net Proceed" numFmtId="0">
      <sharedItems containsSemiMixedTypes="0" containsString="0" containsNumber="1" minValue="863.62120620523183" maxValue="4375.4263998087063"/>
    </cacheField>
  </cacheFields>
  <extLst>
    <ext xmlns:x14="http://schemas.microsoft.com/office/spreadsheetml/2009/9/main" uri="{725AE2AE-9491-48be-B2B4-4EB974FC3084}">
      <x14:pivotCacheDefinition pivotCacheId="1135204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x v="0"/>
    <x v="0"/>
    <x v="0"/>
    <x v="0"/>
  </r>
  <r>
    <x v="0"/>
    <x v="1"/>
    <x v="0"/>
    <x v="1"/>
    <x v="1"/>
  </r>
  <r>
    <x v="1"/>
    <x v="2"/>
    <x v="0"/>
    <x v="2"/>
    <x v="2"/>
  </r>
  <r>
    <x v="0"/>
    <x v="3"/>
    <x v="0"/>
    <x v="3"/>
    <x v="3"/>
  </r>
  <r>
    <x v="1"/>
    <x v="4"/>
    <x v="0"/>
    <x v="4"/>
    <x v="4"/>
  </r>
  <r>
    <x v="1"/>
    <x v="5"/>
    <x v="0"/>
    <x v="5"/>
    <x v="5"/>
  </r>
  <r>
    <x v="0"/>
    <x v="6"/>
    <x v="0"/>
    <x v="6"/>
    <x v="6"/>
  </r>
  <r>
    <x v="0"/>
    <x v="7"/>
    <x v="0"/>
    <x v="7"/>
    <x v="7"/>
  </r>
  <r>
    <x v="0"/>
    <x v="8"/>
    <x v="0"/>
    <x v="8"/>
    <x v="8"/>
  </r>
  <r>
    <x v="1"/>
    <x v="9"/>
    <x v="0"/>
    <x v="9"/>
    <x v="9"/>
  </r>
  <r>
    <x v="1"/>
    <x v="10"/>
    <x v="0"/>
    <x v="10"/>
    <x v="10"/>
  </r>
  <r>
    <x v="1"/>
    <x v="11"/>
    <x v="0"/>
    <x v="11"/>
    <x v="11"/>
  </r>
  <r>
    <x v="1"/>
    <x v="1"/>
    <x v="0"/>
    <x v="12"/>
    <x v="12"/>
  </r>
  <r>
    <x v="0"/>
    <x v="2"/>
    <x v="0"/>
    <x v="13"/>
    <x v="13"/>
  </r>
  <r>
    <x v="1"/>
    <x v="6"/>
    <x v="0"/>
    <x v="14"/>
    <x v="14"/>
  </r>
  <r>
    <x v="0"/>
    <x v="10"/>
    <x v="0"/>
    <x v="15"/>
    <x v="15"/>
  </r>
  <r>
    <x v="1"/>
    <x v="3"/>
    <x v="0"/>
    <x v="16"/>
    <x v="16"/>
  </r>
  <r>
    <x v="1"/>
    <x v="8"/>
    <x v="0"/>
    <x v="17"/>
    <x v="17"/>
  </r>
  <r>
    <x v="0"/>
    <x v="9"/>
    <x v="0"/>
    <x v="18"/>
    <x v="18"/>
  </r>
  <r>
    <x v="0"/>
    <x v="11"/>
    <x v="0"/>
    <x v="19"/>
    <x v="19"/>
  </r>
  <r>
    <x v="1"/>
    <x v="0"/>
    <x v="0"/>
    <x v="20"/>
    <x v="20"/>
  </r>
  <r>
    <x v="0"/>
    <x v="4"/>
    <x v="0"/>
    <x v="21"/>
    <x v="21"/>
  </r>
  <r>
    <x v="1"/>
    <x v="7"/>
    <x v="0"/>
    <x v="22"/>
    <x v="22"/>
  </r>
  <r>
    <x v="0"/>
    <x v="0"/>
    <x v="1"/>
    <x v="23"/>
    <x v="23"/>
  </r>
  <r>
    <x v="1"/>
    <x v="1"/>
    <x v="1"/>
    <x v="24"/>
    <x v="24"/>
  </r>
  <r>
    <x v="1"/>
    <x v="2"/>
    <x v="1"/>
    <x v="25"/>
    <x v="25"/>
  </r>
  <r>
    <x v="0"/>
    <x v="3"/>
    <x v="1"/>
    <x v="26"/>
    <x v="26"/>
  </r>
  <r>
    <x v="1"/>
    <x v="4"/>
    <x v="1"/>
    <x v="27"/>
    <x v="27"/>
  </r>
  <r>
    <x v="0"/>
    <x v="5"/>
    <x v="1"/>
    <x v="28"/>
    <x v="28"/>
  </r>
  <r>
    <x v="1"/>
    <x v="6"/>
    <x v="1"/>
    <x v="29"/>
    <x v="29"/>
  </r>
  <r>
    <x v="1"/>
    <x v="7"/>
    <x v="1"/>
    <x v="30"/>
    <x v="30"/>
  </r>
  <r>
    <x v="0"/>
    <x v="8"/>
    <x v="1"/>
    <x v="31"/>
    <x v="31"/>
  </r>
  <r>
    <x v="0"/>
    <x v="9"/>
    <x v="1"/>
    <x v="32"/>
    <x v="32"/>
  </r>
  <r>
    <x v="0"/>
    <x v="10"/>
    <x v="1"/>
    <x v="33"/>
    <x v="33"/>
  </r>
  <r>
    <x v="1"/>
    <x v="11"/>
    <x v="1"/>
    <x v="34"/>
    <x v="34"/>
  </r>
  <r>
    <x v="1"/>
    <x v="3"/>
    <x v="1"/>
    <x v="35"/>
    <x v="35"/>
  </r>
  <r>
    <x v="0"/>
    <x v="4"/>
    <x v="1"/>
    <x v="36"/>
    <x v="36"/>
  </r>
  <r>
    <x v="0"/>
    <x v="6"/>
    <x v="1"/>
    <x v="37"/>
    <x v="37"/>
  </r>
  <r>
    <x v="1"/>
    <x v="9"/>
    <x v="1"/>
    <x v="38"/>
    <x v="38"/>
  </r>
  <r>
    <x v="1"/>
    <x v="10"/>
    <x v="1"/>
    <x v="39"/>
    <x v="39"/>
  </r>
  <r>
    <x v="0"/>
    <x v="11"/>
    <x v="1"/>
    <x v="40"/>
    <x v="40"/>
  </r>
  <r>
    <x v="1"/>
    <x v="0"/>
    <x v="1"/>
    <x v="41"/>
    <x v="41"/>
  </r>
  <r>
    <x v="0"/>
    <x v="1"/>
    <x v="1"/>
    <x v="42"/>
    <x v="42"/>
  </r>
  <r>
    <x v="1"/>
    <x v="5"/>
    <x v="1"/>
    <x v="43"/>
    <x v="43"/>
  </r>
  <r>
    <x v="0"/>
    <x v="7"/>
    <x v="1"/>
    <x v="44"/>
    <x v="44"/>
  </r>
  <r>
    <x v="0"/>
    <x v="2"/>
    <x v="1"/>
    <x v="45"/>
    <x v="45"/>
  </r>
  <r>
    <x v="1"/>
    <x v="8"/>
    <x v="1"/>
    <x v="46"/>
    <x v="46"/>
  </r>
  <r>
    <x v="0"/>
    <x v="0"/>
    <x v="2"/>
    <x v="47"/>
    <x v="47"/>
  </r>
  <r>
    <x v="1"/>
    <x v="1"/>
    <x v="2"/>
    <x v="48"/>
    <x v="48"/>
  </r>
  <r>
    <x v="0"/>
    <x v="2"/>
    <x v="2"/>
    <x v="49"/>
    <x v="49"/>
  </r>
  <r>
    <x v="1"/>
    <x v="3"/>
    <x v="2"/>
    <x v="50"/>
    <x v="50"/>
  </r>
  <r>
    <x v="0"/>
    <x v="4"/>
    <x v="2"/>
    <x v="51"/>
    <x v="51"/>
  </r>
  <r>
    <x v="1"/>
    <x v="5"/>
    <x v="2"/>
    <x v="52"/>
    <x v="52"/>
  </r>
  <r>
    <x v="1"/>
    <x v="6"/>
    <x v="2"/>
    <x v="53"/>
    <x v="53"/>
  </r>
  <r>
    <x v="1"/>
    <x v="7"/>
    <x v="2"/>
    <x v="54"/>
    <x v="54"/>
  </r>
  <r>
    <x v="0"/>
    <x v="8"/>
    <x v="2"/>
    <x v="55"/>
    <x v="55"/>
  </r>
  <r>
    <x v="0"/>
    <x v="9"/>
    <x v="2"/>
    <x v="56"/>
    <x v="56"/>
  </r>
  <r>
    <x v="0"/>
    <x v="10"/>
    <x v="2"/>
    <x v="57"/>
    <x v="57"/>
  </r>
  <r>
    <x v="1"/>
    <x v="11"/>
    <x v="2"/>
    <x v="58"/>
    <x v="58"/>
  </r>
  <r>
    <x v="1"/>
    <x v="0"/>
    <x v="2"/>
    <x v="59"/>
    <x v="59"/>
  </r>
  <r>
    <x v="0"/>
    <x v="3"/>
    <x v="2"/>
    <x v="60"/>
    <x v="60"/>
  </r>
  <r>
    <x v="0"/>
    <x v="6"/>
    <x v="2"/>
    <x v="61"/>
    <x v="61"/>
  </r>
  <r>
    <x v="0"/>
    <x v="7"/>
    <x v="2"/>
    <x v="62"/>
    <x v="62"/>
  </r>
  <r>
    <x v="1"/>
    <x v="8"/>
    <x v="2"/>
    <x v="63"/>
    <x v="63"/>
  </r>
  <r>
    <x v="1"/>
    <x v="10"/>
    <x v="2"/>
    <x v="64"/>
    <x v="64"/>
  </r>
  <r>
    <x v="0"/>
    <x v="1"/>
    <x v="2"/>
    <x v="65"/>
    <x v="65"/>
  </r>
  <r>
    <x v="1"/>
    <x v="2"/>
    <x v="2"/>
    <x v="66"/>
    <x v="66"/>
  </r>
  <r>
    <x v="0"/>
    <x v="11"/>
    <x v="2"/>
    <x v="67"/>
    <x v="67"/>
  </r>
  <r>
    <x v="1"/>
    <x v="4"/>
    <x v="2"/>
    <x v="68"/>
    <x v="68"/>
  </r>
  <r>
    <x v="0"/>
    <x v="5"/>
    <x v="2"/>
    <x v="69"/>
    <x v="69"/>
  </r>
  <r>
    <x v="1"/>
    <x v="9"/>
    <x v="2"/>
    <x v="70"/>
    <x v="70"/>
  </r>
  <r>
    <x v="0"/>
    <x v="0"/>
    <x v="3"/>
    <x v="71"/>
    <x v="71"/>
  </r>
  <r>
    <x v="0"/>
    <x v="1"/>
    <x v="3"/>
    <x v="72"/>
    <x v="72"/>
  </r>
  <r>
    <x v="1"/>
    <x v="2"/>
    <x v="3"/>
    <x v="73"/>
    <x v="73"/>
  </r>
  <r>
    <x v="1"/>
    <x v="3"/>
    <x v="3"/>
    <x v="74"/>
    <x v="74"/>
  </r>
  <r>
    <x v="1"/>
    <x v="4"/>
    <x v="3"/>
    <x v="75"/>
    <x v="75"/>
  </r>
  <r>
    <x v="0"/>
    <x v="5"/>
    <x v="3"/>
    <x v="76"/>
    <x v="76"/>
  </r>
  <r>
    <x v="0"/>
    <x v="6"/>
    <x v="3"/>
    <x v="77"/>
    <x v="77"/>
  </r>
  <r>
    <x v="0"/>
    <x v="7"/>
    <x v="3"/>
    <x v="78"/>
    <x v="78"/>
  </r>
  <r>
    <x v="0"/>
    <x v="8"/>
    <x v="3"/>
    <x v="79"/>
    <x v="79"/>
  </r>
  <r>
    <x v="1"/>
    <x v="9"/>
    <x v="3"/>
    <x v="80"/>
    <x v="80"/>
  </r>
  <r>
    <x v="1"/>
    <x v="10"/>
    <x v="3"/>
    <x v="81"/>
    <x v="81"/>
  </r>
  <r>
    <x v="1"/>
    <x v="11"/>
    <x v="3"/>
    <x v="82"/>
    <x v="82"/>
  </r>
  <r>
    <x v="1"/>
    <x v="1"/>
    <x v="3"/>
    <x v="83"/>
    <x v="83"/>
  </r>
  <r>
    <x v="0"/>
    <x v="2"/>
    <x v="3"/>
    <x v="84"/>
    <x v="84"/>
  </r>
  <r>
    <x v="1"/>
    <x v="6"/>
    <x v="3"/>
    <x v="85"/>
    <x v="85"/>
  </r>
  <r>
    <x v="0"/>
    <x v="11"/>
    <x v="3"/>
    <x v="86"/>
    <x v="86"/>
  </r>
  <r>
    <x v="0"/>
    <x v="3"/>
    <x v="3"/>
    <x v="87"/>
    <x v="87"/>
  </r>
  <r>
    <x v="1"/>
    <x v="5"/>
    <x v="3"/>
    <x v="88"/>
    <x v="88"/>
  </r>
  <r>
    <x v="1"/>
    <x v="7"/>
    <x v="3"/>
    <x v="89"/>
    <x v="89"/>
  </r>
  <r>
    <x v="1"/>
    <x v="0"/>
    <x v="3"/>
    <x v="90"/>
    <x v="90"/>
  </r>
  <r>
    <x v="0"/>
    <x v="4"/>
    <x v="3"/>
    <x v="91"/>
    <x v="91"/>
  </r>
  <r>
    <x v="0"/>
    <x v="9"/>
    <x v="3"/>
    <x v="92"/>
    <x v="92"/>
  </r>
  <r>
    <x v="1"/>
    <x v="8"/>
    <x v="3"/>
    <x v="93"/>
    <x v="93"/>
  </r>
  <r>
    <x v="0"/>
    <x v="10"/>
    <x v="3"/>
    <x v="94"/>
    <x v="94"/>
  </r>
  <r>
    <x v="1"/>
    <x v="0"/>
    <x v="4"/>
    <x v="95"/>
    <x v="95"/>
  </r>
  <r>
    <x v="1"/>
    <x v="1"/>
    <x v="4"/>
    <x v="96"/>
    <x v="96"/>
  </r>
  <r>
    <x v="1"/>
    <x v="2"/>
    <x v="4"/>
    <x v="97"/>
    <x v="97"/>
  </r>
  <r>
    <x v="0"/>
    <x v="3"/>
    <x v="4"/>
    <x v="98"/>
    <x v="98"/>
  </r>
  <r>
    <x v="0"/>
    <x v="4"/>
    <x v="4"/>
    <x v="99"/>
    <x v="99"/>
  </r>
  <r>
    <x v="0"/>
    <x v="5"/>
    <x v="4"/>
    <x v="100"/>
    <x v="100"/>
  </r>
  <r>
    <x v="0"/>
    <x v="6"/>
    <x v="4"/>
    <x v="101"/>
    <x v="101"/>
  </r>
  <r>
    <x v="1"/>
    <x v="7"/>
    <x v="4"/>
    <x v="102"/>
    <x v="102"/>
  </r>
  <r>
    <x v="1"/>
    <x v="8"/>
    <x v="4"/>
    <x v="103"/>
    <x v="103"/>
  </r>
  <r>
    <x v="0"/>
    <x v="9"/>
    <x v="4"/>
    <x v="104"/>
    <x v="104"/>
  </r>
  <r>
    <x v="1"/>
    <x v="10"/>
    <x v="4"/>
    <x v="105"/>
    <x v="105"/>
  </r>
  <r>
    <x v="0"/>
    <x v="11"/>
    <x v="4"/>
    <x v="106"/>
    <x v="106"/>
  </r>
  <r>
    <x v="0"/>
    <x v="2"/>
    <x v="4"/>
    <x v="107"/>
    <x v="107"/>
  </r>
  <r>
    <x v="1"/>
    <x v="4"/>
    <x v="4"/>
    <x v="108"/>
    <x v="108"/>
  </r>
  <r>
    <x v="1"/>
    <x v="6"/>
    <x v="4"/>
    <x v="109"/>
    <x v="109"/>
  </r>
  <r>
    <x v="0"/>
    <x v="7"/>
    <x v="4"/>
    <x v="110"/>
    <x v="110"/>
  </r>
  <r>
    <x v="0"/>
    <x v="8"/>
    <x v="4"/>
    <x v="111"/>
    <x v="111"/>
  </r>
  <r>
    <x v="1"/>
    <x v="9"/>
    <x v="4"/>
    <x v="112"/>
    <x v="112"/>
  </r>
  <r>
    <x v="0"/>
    <x v="0"/>
    <x v="4"/>
    <x v="113"/>
    <x v="113"/>
  </r>
  <r>
    <x v="1"/>
    <x v="3"/>
    <x v="4"/>
    <x v="114"/>
    <x v="114"/>
  </r>
  <r>
    <x v="0"/>
    <x v="10"/>
    <x v="4"/>
    <x v="115"/>
    <x v="115"/>
  </r>
  <r>
    <x v="1"/>
    <x v="11"/>
    <x v="4"/>
    <x v="116"/>
    <x v="116"/>
  </r>
  <r>
    <x v="1"/>
    <x v="5"/>
    <x v="4"/>
    <x v="117"/>
    <x v="117"/>
  </r>
  <r>
    <x v="0"/>
    <x v="1"/>
    <x v="4"/>
    <x v="118"/>
    <x v="1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s v="Manager A"/>
    <s v="Product 1"/>
    <n v="3732"/>
    <n v="251.41946561021319"/>
    <x v="0"/>
    <x v="0"/>
    <s v="met the target"/>
    <n v="3480.5805343897869"/>
    <n v="502.83893122042628"/>
    <n v="2977.7416031693606"/>
  </r>
  <r>
    <x v="0"/>
    <x v="0"/>
    <x v="1"/>
    <s v="Manager A"/>
    <s v="Product 2"/>
    <n v="3607"/>
    <n v="196.7930081267595"/>
    <x v="0"/>
    <x v="1"/>
    <s v="met the target"/>
    <n v="3410.2069918732404"/>
    <n v="393.58601625351912"/>
    <n v="3016.6209756197213"/>
  </r>
  <r>
    <x v="0"/>
    <x v="0"/>
    <x v="2"/>
    <s v="Manager A"/>
    <s v="Product 3"/>
    <n v="2653"/>
    <n v="136.43135305700861"/>
    <x v="0"/>
    <x v="2"/>
    <s v="met the target"/>
    <n v="2516.5686469429916"/>
    <n v="272.86270611401687"/>
    <n v="2243.7059408289747"/>
  </r>
  <r>
    <x v="1"/>
    <x v="0"/>
    <x v="3"/>
    <s v="Manager A"/>
    <s v="Product 3"/>
    <n v="4468"/>
    <n v="258.4905083210989"/>
    <x v="0"/>
    <x v="2"/>
    <s v="Exceeded the target"/>
    <n v="4209.5094916789012"/>
    <n v="516.98101664219757"/>
    <n v="3692.5284750367036"/>
  </r>
  <r>
    <x v="1"/>
    <x v="0"/>
    <x v="4"/>
    <s v="Manager A"/>
    <s v="Product 1"/>
    <n v="4544"/>
    <n v="215.27956586144401"/>
    <x v="0"/>
    <x v="0"/>
    <s v="Exceeded the target"/>
    <n v="4328.7204341385559"/>
    <n v="430.5591317228882"/>
    <n v="3898.1613024156677"/>
  </r>
  <r>
    <x v="1"/>
    <x v="0"/>
    <x v="5"/>
    <s v="Manager A"/>
    <s v="Product 2"/>
    <n v="3648"/>
    <n v="154.93725510057939"/>
    <x v="0"/>
    <x v="1"/>
    <s v="met the target"/>
    <n v="3493.0627448994205"/>
    <n v="309.87451020115896"/>
    <n v="3183.1882346982616"/>
  </r>
  <r>
    <x v="2"/>
    <x v="0"/>
    <x v="6"/>
    <s v="Manager A"/>
    <s v="Product 2"/>
    <n v="2940"/>
    <n v="177.38532969113021"/>
    <x v="0"/>
    <x v="1"/>
    <s v="met the target"/>
    <n v="2762.6146703088698"/>
    <n v="354.77065938226042"/>
    <n v="2407.8440109266094"/>
  </r>
  <r>
    <x v="2"/>
    <x v="0"/>
    <x v="7"/>
    <s v="Manager A"/>
    <s v="Product 3"/>
    <n v="3163"/>
    <n v="135.3785699220586"/>
    <x v="0"/>
    <x v="2"/>
    <s v="met the target"/>
    <n v="3027.6214300779416"/>
    <n v="270.75713984411686"/>
    <n v="2756.8642902338247"/>
  </r>
  <r>
    <x v="2"/>
    <x v="0"/>
    <x v="8"/>
    <s v="Manager A"/>
    <s v="Product 1"/>
    <n v="3825"/>
    <n v="117.9096029182565"/>
    <x v="0"/>
    <x v="0"/>
    <s v="met the target"/>
    <n v="3707.0903970817435"/>
    <n v="235.81920583651299"/>
    <n v="3471.2711912452305"/>
  </r>
  <r>
    <x v="3"/>
    <x v="0"/>
    <x v="9"/>
    <s v="Manager A"/>
    <s v="Product 3"/>
    <n v="4219"/>
    <n v="162.56852930053631"/>
    <x v="0"/>
    <x v="2"/>
    <s v="Exceeded the target"/>
    <n v="4056.4314706994637"/>
    <n v="325.13705860107257"/>
    <n v="3731.2944120983911"/>
  </r>
  <r>
    <x v="3"/>
    <x v="0"/>
    <x v="10"/>
    <s v="Manager A"/>
    <s v="Product 1"/>
    <n v="1797"/>
    <n v="106.44391539063891"/>
    <x v="0"/>
    <x v="0"/>
    <s v="Did not meet the target"/>
    <n v="1690.5560846093611"/>
    <n v="212.8878307812779"/>
    <n v="1477.6682538280832"/>
  </r>
  <r>
    <x v="3"/>
    <x v="0"/>
    <x v="11"/>
    <s v="Manager A"/>
    <s v="Product 2"/>
    <n v="1659"/>
    <n v="66.621567402605919"/>
    <x v="0"/>
    <x v="1"/>
    <s v="Did not meet the target"/>
    <n v="1592.3784325973941"/>
    <n v="133.24313480521187"/>
    <n v="1459.1352977921822"/>
  </r>
  <r>
    <x v="4"/>
    <x v="0"/>
    <x v="0"/>
    <s v="Manager A"/>
    <s v="Product 1"/>
    <n v="3558"/>
    <n v="208.76346982733"/>
    <x v="0"/>
    <x v="0"/>
    <s v="met the target"/>
    <n v="3349.23653017267"/>
    <n v="417.52693965466005"/>
    <n v="2931.7095905180099"/>
  </r>
  <r>
    <x v="4"/>
    <x v="0"/>
    <x v="1"/>
    <s v="Manager A"/>
    <s v="Product 2"/>
    <n v="4531"/>
    <n v="207.71186053679389"/>
    <x v="0"/>
    <x v="1"/>
    <s v="Exceeded the target"/>
    <n v="4323.2881394632059"/>
    <n v="415.42372107358824"/>
    <n v="3907.8644183896176"/>
  </r>
  <r>
    <x v="4"/>
    <x v="0"/>
    <x v="2"/>
    <s v="Manager A"/>
    <s v="Product 3"/>
    <n v="3930"/>
    <n v="206.7842302241576"/>
    <x v="0"/>
    <x v="2"/>
    <s v="met the target"/>
    <n v="3723.2157697758425"/>
    <n v="413.56846044831536"/>
    <n v="3309.6473093275272"/>
  </r>
  <r>
    <x v="5"/>
    <x v="0"/>
    <x v="3"/>
    <s v="Manager A"/>
    <s v="Product 1"/>
    <n v="3383"/>
    <n v="141.0234033255677"/>
    <x v="0"/>
    <x v="0"/>
    <s v="met the target"/>
    <n v="3241.9765966744321"/>
    <n v="282.04680665113574"/>
    <n v="2959.9297900232964"/>
  </r>
  <r>
    <x v="5"/>
    <x v="0"/>
    <x v="4"/>
    <s v="Manager A"/>
    <s v="Product 3"/>
    <n v="2641"/>
    <n v="89.825052060927192"/>
    <x v="0"/>
    <x v="2"/>
    <s v="met the target"/>
    <n v="2551.1749479390728"/>
    <n v="179.65010412185438"/>
    <n v="2371.5248438172184"/>
  </r>
  <r>
    <x v="5"/>
    <x v="0"/>
    <x v="5"/>
    <s v="Manager A"/>
    <s v="Product 2"/>
    <n v="1388"/>
    <n v="55.010813860905607"/>
    <x v="0"/>
    <x v="1"/>
    <s v="Did not meet the target"/>
    <n v="1332.9891861390945"/>
    <n v="110.021627721811"/>
    <n v="1222.9675584172835"/>
  </r>
  <r>
    <x v="6"/>
    <x v="0"/>
    <x v="6"/>
    <s v="Manager A"/>
    <s v="Product 3"/>
    <n v="2920"/>
    <n v="197.55291590971899"/>
    <x v="0"/>
    <x v="2"/>
    <s v="met the target"/>
    <n v="2722.4470840902809"/>
    <n v="395.10583181943821"/>
    <n v="2327.3412522708427"/>
  </r>
  <r>
    <x v="6"/>
    <x v="0"/>
    <x v="7"/>
    <s v="Manager A"/>
    <s v="Product 1"/>
    <n v="4154"/>
    <n v="163.11954225445541"/>
    <x v="0"/>
    <x v="0"/>
    <s v="Exceeded the target"/>
    <n v="3990.8804577455444"/>
    <n v="326.23908450891076"/>
    <n v="3664.6413732366336"/>
  </r>
  <r>
    <x v="6"/>
    <x v="0"/>
    <x v="8"/>
    <s v="Manager A"/>
    <s v="Product 2"/>
    <n v="1091"/>
    <n v="74.158273410220332"/>
    <x v="0"/>
    <x v="1"/>
    <s v="Did not meet the target"/>
    <n v="1016.8417265897797"/>
    <n v="148.31654682044064"/>
    <n v="868.52517976933905"/>
  </r>
  <r>
    <x v="7"/>
    <x v="0"/>
    <x v="9"/>
    <s v="Manager A"/>
    <s v="Product 1"/>
    <n v="3036"/>
    <n v="168.73754239146101"/>
    <x v="0"/>
    <x v="0"/>
    <s v="met the target"/>
    <n v="2867.2624576085391"/>
    <n v="337.47508478292184"/>
    <n v="2529.7873728256172"/>
  </r>
  <r>
    <x v="7"/>
    <x v="0"/>
    <x v="10"/>
    <s v="Manager A"/>
    <s v="Product 2"/>
    <n v="2155"/>
    <n v="96.421993048373025"/>
    <x v="0"/>
    <x v="1"/>
    <s v="Did not meet the target"/>
    <n v="2058.5780069516268"/>
    <n v="192.84398609674645"/>
    <n v="1865.7340208548803"/>
  </r>
  <r>
    <x v="7"/>
    <x v="0"/>
    <x v="11"/>
    <s v="Manager A"/>
    <s v="Product 3"/>
    <n v="1972"/>
    <n v="69.958693430560032"/>
    <x v="0"/>
    <x v="2"/>
    <s v="Did not meet the target"/>
    <n v="1902.0413065694399"/>
    <n v="139.91738686112012"/>
    <n v="1762.1239197083198"/>
  </r>
  <r>
    <x v="8"/>
    <x v="0"/>
    <x v="0"/>
    <s v="Manager A"/>
    <s v="Product 1"/>
    <n v="2877"/>
    <n v="133.17531400630091"/>
    <x v="0"/>
    <x v="0"/>
    <s v="met the target"/>
    <n v="2743.8246859936989"/>
    <n v="266.3506280126021"/>
    <n v="2477.4740579810968"/>
  </r>
  <r>
    <x v="8"/>
    <x v="0"/>
    <x v="1"/>
    <s v="Manager A"/>
    <s v="Product 3"/>
    <n v="2329"/>
    <n v="82.212548054053698"/>
    <x v="0"/>
    <x v="2"/>
    <s v="Did not meet the target"/>
    <n v="2246.7874519459465"/>
    <n v="164.42509610810703"/>
    <n v="2082.3623558378395"/>
  </r>
  <r>
    <x v="8"/>
    <x v="0"/>
    <x v="2"/>
    <s v="Manager A"/>
    <s v="Product 2"/>
    <n v="1560"/>
    <n v="61.291410471466833"/>
    <x v="0"/>
    <x v="1"/>
    <s v="Did not meet the target"/>
    <n v="1498.7085895285331"/>
    <n v="122.58282094293372"/>
    <n v="1376.1257685855994"/>
  </r>
  <r>
    <x v="9"/>
    <x v="0"/>
    <x v="3"/>
    <s v="Manager A"/>
    <s v="Product 2"/>
    <n v="4933"/>
    <n v="201.33110226170319"/>
    <x v="0"/>
    <x v="1"/>
    <s v="Exceeded the target"/>
    <n v="4731.6688977382964"/>
    <n v="402.66220452340713"/>
    <n v="4329.0066932148893"/>
  </r>
  <r>
    <x v="9"/>
    <x v="0"/>
    <x v="4"/>
    <s v="Manager A"/>
    <s v="Product 3"/>
    <n v="3435"/>
    <n v="121.11573662260091"/>
    <x v="0"/>
    <x v="2"/>
    <s v="met the target"/>
    <n v="3313.8842633773993"/>
    <n v="242.23147324520141"/>
    <n v="3071.6527901321979"/>
  </r>
  <r>
    <x v="9"/>
    <x v="0"/>
    <x v="5"/>
    <s v="Manager A"/>
    <s v="Product 1"/>
    <n v="1816"/>
    <n v="107.2924952433509"/>
    <x v="0"/>
    <x v="0"/>
    <s v="Did not meet the target"/>
    <n v="1708.7075047566491"/>
    <n v="214.58499048670183"/>
    <n v="1494.1225142699473"/>
  </r>
  <r>
    <x v="10"/>
    <x v="0"/>
    <x v="6"/>
    <s v="Manager A"/>
    <s v="Product 2"/>
    <n v="4455"/>
    <n v="272.18402752144777"/>
    <x v="0"/>
    <x v="1"/>
    <s v="Exceeded the target"/>
    <n v="4182.8159724785519"/>
    <n v="544.36805504289623"/>
    <n v="3638.4479174356557"/>
  </r>
  <r>
    <x v="10"/>
    <x v="0"/>
    <x v="7"/>
    <s v="Manager A"/>
    <s v="Product 3"/>
    <n v="3071"/>
    <n v="123.9974678041834"/>
    <x v="0"/>
    <x v="2"/>
    <s v="met the target"/>
    <n v="2947.0025321958165"/>
    <n v="247.99493560836709"/>
    <n v="2699.0075965874494"/>
  </r>
  <r>
    <x v="10"/>
    <x v="0"/>
    <x v="8"/>
    <s v="Manager A"/>
    <s v="Product 1"/>
    <n v="1954"/>
    <n v="119.48283214675661"/>
    <x v="0"/>
    <x v="0"/>
    <s v="Did not meet the target"/>
    <n v="1834.5171678532433"/>
    <n v="238.96566429351333"/>
    <n v="1595.55150355973"/>
  </r>
  <r>
    <x v="11"/>
    <x v="0"/>
    <x v="9"/>
    <s v="Manager A"/>
    <s v="Product 1"/>
    <n v="4220"/>
    <n v="288.55234793268221"/>
    <x v="0"/>
    <x v="0"/>
    <s v="Exceeded the target"/>
    <n v="3931.4476520673179"/>
    <n v="577.10469586536419"/>
    <n v="3354.3429562019537"/>
  </r>
  <r>
    <x v="11"/>
    <x v="0"/>
    <x v="10"/>
    <s v="Manager A"/>
    <s v="Product 3"/>
    <n v="3610"/>
    <n v="113.40633572309289"/>
    <x v="0"/>
    <x v="2"/>
    <s v="met the target"/>
    <n v="3496.593664276907"/>
    <n v="226.81267144618596"/>
    <n v="3269.7809928307211"/>
  </r>
  <r>
    <x v="11"/>
    <x v="0"/>
    <x v="11"/>
    <s v="Manager A"/>
    <s v="Product 2"/>
    <n v="1209"/>
    <n v="67.489777021892351"/>
    <x v="0"/>
    <x v="1"/>
    <s v="Did not meet the target"/>
    <n v="1141.5102229781075"/>
    <n v="134.9795540437849"/>
    <n v="1006.5306689343226"/>
  </r>
  <r>
    <x v="0"/>
    <x v="0"/>
    <x v="0"/>
    <s v="Manager B"/>
    <s v="Product 1"/>
    <n v="4264"/>
    <n v="228.53504556703561"/>
    <x v="1"/>
    <x v="0"/>
    <s v="Exceeded the target"/>
    <n v="4035.4649544329645"/>
    <n v="457.07009113407139"/>
    <n v="3578.3948632988931"/>
  </r>
  <r>
    <x v="0"/>
    <x v="0"/>
    <x v="1"/>
    <s v="Manager B"/>
    <s v="Product 2"/>
    <n v="1835"/>
    <n v="108.64095696653089"/>
    <x v="1"/>
    <x v="1"/>
    <s v="Did not meet the target"/>
    <n v="1726.3590430334691"/>
    <n v="217.28191393306179"/>
    <n v="1509.0771291004073"/>
  </r>
  <r>
    <x v="0"/>
    <x v="0"/>
    <x v="2"/>
    <s v="Manager B"/>
    <s v="Product 3"/>
    <n v="1763"/>
    <n v="74.888361081221518"/>
    <x v="1"/>
    <x v="2"/>
    <s v="Did not meet the target"/>
    <n v="1688.1116389187785"/>
    <n v="149.77672216244309"/>
    <n v="1538.3349167563354"/>
  </r>
  <r>
    <x v="1"/>
    <x v="0"/>
    <x v="3"/>
    <s v="Manager B"/>
    <s v="Product 1"/>
    <n v="3362"/>
    <n v="151.66006734805279"/>
    <x v="1"/>
    <x v="0"/>
    <s v="met the target"/>
    <n v="3210.339932651947"/>
    <n v="303.32013469610592"/>
    <n v="2907.0197979558411"/>
  </r>
  <r>
    <x v="1"/>
    <x v="0"/>
    <x v="4"/>
    <s v="Manager B"/>
    <s v="Product 3"/>
    <n v="4558"/>
    <n v="141.23942576030751"/>
    <x v="1"/>
    <x v="2"/>
    <s v="Exceeded the target"/>
    <n v="4416.7605742396927"/>
    <n v="282.47885152061463"/>
    <n v="4134.2817227190781"/>
  </r>
  <r>
    <x v="1"/>
    <x v="0"/>
    <x v="5"/>
    <s v="Manager B"/>
    <s v="Product 2"/>
    <n v="1705"/>
    <n v="63.398970809567103"/>
    <x v="1"/>
    <x v="1"/>
    <s v="Did not meet the target"/>
    <n v="1641.6010291904329"/>
    <n v="126.79794161913424"/>
    <n v="1514.8030875712986"/>
  </r>
  <r>
    <x v="2"/>
    <x v="0"/>
    <x v="6"/>
    <s v="Manager B"/>
    <s v="Product 3"/>
    <n v="4781"/>
    <n v="302.35970657936912"/>
    <x v="1"/>
    <x v="2"/>
    <s v="Exceeded the target"/>
    <n v="4478.6402934206308"/>
    <n v="604.71941315873846"/>
    <n v="3873.9208802618923"/>
  </r>
  <r>
    <x v="2"/>
    <x v="0"/>
    <x v="7"/>
    <s v="Manager B"/>
    <s v="Product 2"/>
    <n v="1755"/>
    <n v="93.949861371463115"/>
    <x v="1"/>
    <x v="1"/>
    <s v="Did not meet the target"/>
    <n v="1661.0501386285368"/>
    <n v="187.89972274292631"/>
    <n v="1473.1504158856105"/>
  </r>
  <r>
    <x v="2"/>
    <x v="0"/>
    <x v="8"/>
    <s v="Manager B"/>
    <s v="Product 1"/>
    <n v="1976"/>
    <n v="89.58898619534682"/>
    <x v="1"/>
    <x v="0"/>
    <s v="Did not meet the target"/>
    <n v="1886.4110138046531"/>
    <n v="179.17797239069387"/>
    <n v="1707.2330414139592"/>
  </r>
  <r>
    <x v="3"/>
    <x v="0"/>
    <x v="9"/>
    <s v="Manager B"/>
    <s v="Product 1"/>
    <n v="3958"/>
    <n v="200.7815370295026"/>
    <x v="1"/>
    <x v="0"/>
    <s v="met the target"/>
    <n v="3757.2184629704975"/>
    <n v="401.56307405900543"/>
    <n v="3355.6553889114921"/>
  </r>
  <r>
    <x v="3"/>
    <x v="0"/>
    <x v="10"/>
    <s v="Manager B"/>
    <s v="Product 3"/>
    <n v="4360"/>
    <n v="166.98278115692949"/>
    <x v="1"/>
    <x v="2"/>
    <s v="Exceeded the target"/>
    <n v="4193.0172188430706"/>
    <n v="333.96556231385875"/>
    <n v="3859.0516565292119"/>
  </r>
  <r>
    <x v="3"/>
    <x v="0"/>
    <x v="11"/>
    <s v="Manager B"/>
    <s v="Product 2"/>
    <n v="1423"/>
    <n v="44.150721911663943"/>
    <x v="1"/>
    <x v="1"/>
    <s v="Did not meet the target"/>
    <n v="1378.849278088336"/>
    <n v="88.3014438233281"/>
    <n v="1290.5478342650079"/>
  </r>
  <r>
    <x v="4"/>
    <x v="0"/>
    <x v="0"/>
    <s v="Manager B"/>
    <s v="Product 2"/>
    <n v="3076"/>
    <n v="110.10206830960909"/>
    <x v="1"/>
    <x v="1"/>
    <s v="met the target"/>
    <n v="2965.897931690391"/>
    <n v="220.20413661921793"/>
    <n v="2745.6937950711731"/>
  </r>
  <r>
    <x v="4"/>
    <x v="0"/>
    <x v="1"/>
    <s v="Manager B"/>
    <s v="Product 3"/>
    <n v="1802"/>
    <n v="89.23909670917665"/>
    <x v="1"/>
    <x v="2"/>
    <s v="Did not meet the target"/>
    <n v="1712.7609032908233"/>
    <n v="178.47819341835338"/>
    <n v="1534.2827098724699"/>
  </r>
  <r>
    <x v="4"/>
    <x v="0"/>
    <x v="2"/>
    <s v="Manager B"/>
    <s v="Product 1"/>
    <n v="2207"/>
    <n v="82.389943940978853"/>
    <x v="1"/>
    <x v="0"/>
    <s v="Did not meet the target"/>
    <n v="2124.6100560590212"/>
    <n v="164.77988788195762"/>
    <n v="1959.8301681770636"/>
  </r>
  <r>
    <x v="5"/>
    <x v="0"/>
    <x v="3"/>
    <s v="Manager B"/>
    <s v="Product 3"/>
    <n v="3591"/>
    <n v="203.95681275231831"/>
    <x v="1"/>
    <x v="2"/>
    <s v="met the target"/>
    <n v="3387.0431872476815"/>
    <n v="407.91362550463691"/>
    <n v="2979.1295617430446"/>
  </r>
  <r>
    <x v="5"/>
    <x v="0"/>
    <x v="4"/>
    <s v="Manager B"/>
    <s v="Product 2"/>
    <n v="2466"/>
    <n v="165.66877180838171"/>
    <x v="1"/>
    <x v="1"/>
    <s v="Did not meet the target"/>
    <n v="2300.3312281916183"/>
    <n v="331.33754361676347"/>
    <n v="1968.9936845748548"/>
  </r>
  <r>
    <x v="5"/>
    <x v="0"/>
    <x v="5"/>
    <s v="Manager B"/>
    <s v="Product 1"/>
    <n v="4114"/>
    <n v="126.123659845573"/>
    <x v="1"/>
    <x v="0"/>
    <s v="Exceeded the target"/>
    <n v="3987.876340154427"/>
    <n v="252.24731969114555"/>
    <n v="3735.6290204632814"/>
  </r>
  <r>
    <x v="6"/>
    <x v="0"/>
    <x v="6"/>
    <s v="Manager B"/>
    <s v="Product 1"/>
    <n v="3446"/>
    <n v="213.54208464065371"/>
    <x v="1"/>
    <x v="0"/>
    <s v="met the target"/>
    <n v="3232.4579153593463"/>
    <n v="427.08416928130737"/>
    <n v="2805.3737460780389"/>
  </r>
  <r>
    <x v="6"/>
    <x v="0"/>
    <x v="7"/>
    <s v="Manager B"/>
    <s v="Product 2"/>
    <n v="3659"/>
    <n v="202.04236003982351"/>
    <x v="1"/>
    <x v="1"/>
    <s v="met the target"/>
    <n v="3456.9576399601765"/>
    <n v="404.08472007964701"/>
    <n v="3052.8729198805295"/>
  </r>
  <r>
    <x v="6"/>
    <x v="0"/>
    <x v="8"/>
    <s v="Manager B"/>
    <s v="Product 3"/>
    <n v="2589"/>
    <n v="168.21126182367951"/>
    <x v="1"/>
    <x v="2"/>
    <s v="met the target"/>
    <n v="2420.7887381763203"/>
    <n v="336.42252364735941"/>
    <n v="2084.3662145289609"/>
  </r>
  <r>
    <x v="7"/>
    <x v="0"/>
    <x v="9"/>
    <s v="Manager B"/>
    <s v="Product 1"/>
    <n v="3916"/>
    <n v="246.25652172754661"/>
    <x v="1"/>
    <x v="0"/>
    <s v="met the target"/>
    <n v="3669.7434782724536"/>
    <n v="492.51304345509334"/>
    <n v="3177.2304348173602"/>
  </r>
  <r>
    <x v="7"/>
    <x v="0"/>
    <x v="10"/>
    <s v="Manager B"/>
    <s v="Product 3"/>
    <n v="3024"/>
    <n v="152.56914412881929"/>
    <x v="1"/>
    <x v="2"/>
    <s v="met the target"/>
    <n v="2871.4308558711809"/>
    <n v="305.13828825763812"/>
    <n v="2566.2925676135428"/>
  </r>
  <r>
    <x v="7"/>
    <x v="0"/>
    <x v="11"/>
    <s v="Manager B"/>
    <s v="Product 2"/>
    <n v="2204"/>
    <n v="82.85699191334713"/>
    <x v="1"/>
    <x v="1"/>
    <s v="Did not meet the target"/>
    <n v="2121.143008086653"/>
    <n v="165.71398382669395"/>
    <n v="1955.4290242599591"/>
  </r>
  <r>
    <x v="8"/>
    <x v="0"/>
    <x v="0"/>
    <s v="Manager B"/>
    <s v="Product 2"/>
    <n v="3217"/>
    <n v="189.87948278661719"/>
    <x v="1"/>
    <x v="1"/>
    <s v="met the target"/>
    <n v="3027.1205172133828"/>
    <n v="379.75896557323449"/>
    <n v="2647.3615516401483"/>
  </r>
  <r>
    <x v="8"/>
    <x v="0"/>
    <x v="1"/>
    <s v="Manager B"/>
    <s v="Product 1"/>
    <n v="2605"/>
    <n v="83.717112342187193"/>
    <x v="1"/>
    <x v="0"/>
    <s v="met the target"/>
    <n v="2521.2828876578128"/>
    <n v="167.43422468437439"/>
    <n v="2353.8486629734384"/>
  </r>
  <r>
    <x v="8"/>
    <x v="0"/>
    <x v="2"/>
    <s v="Manager B"/>
    <s v="Product 3"/>
    <n v="2699"/>
    <n v="82.203708433158354"/>
    <x v="1"/>
    <x v="2"/>
    <s v="met the target"/>
    <n v="2616.7962915668418"/>
    <n v="164.40741686631645"/>
    <n v="2452.3888747005253"/>
  </r>
  <r>
    <x v="9"/>
    <x v="0"/>
    <x v="3"/>
    <s v="Manager B"/>
    <s v="Product 2"/>
    <n v="4626"/>
    <n v="194.58781132435359"/>
    <x v="1"/>
    <x v="1"/>
    <s v="Exceeded the target"/>
    <n v="4431.4121886756466"/>
    <n v="389.17562264870685"/>
    <n v="4042.2365660269397"/>
  </r>
  <r>
    <x v="9"/>
    <x v="0"/>
    <x v="4"/>
    <s v="Manager B"/>
    <s v="Product 1"/>
    <n v="2634"/>
    <n v="84.854238399577412"/>
    <x v="1"/>
    <x v="0"/>
    <s v="met the target"/>
    <n v="2549.1457616004227"/>
    <n v="169.7084767991546"/>
    <n v="2379.4372848012681"/>
  </r>
  <r>
    <x v="9"/>
    <x v="0"/>
    <x v="5"/>
    <s v="Manager B"/>
    <s v="Product 3"/>
    <n v="1973"/>
    <n v="79.876364337995412"/>
    <x v="1"/>
    <x v="2"/>
    <s v="Did not meet the target"/>
    <n v="1893.1236356620045"/>
    <n v="159.75272867599074"/>
    <n v="1733.3709069860138"/>
  </r>
  <r>
    <x v="10"/>
    <x v="0"/>
    <x v="6"/>
    <s v="Manager B"/>
    <s v="Product 3"/>
    <n v="3425"/>
    <n v="140.12660063215199"/>
    <x v="1"/>
    <x v="2"/>
    <s v="met the target"/>
    <n v="3284.8733993678479"/>
    <n v="280.25320126430415"/>
    <n v="3004.6201981035438"/>
  </r>
  <r>
    <x v="10"/>
    <x v="0"/>
    <x v="7"/>
    <s v="Manager B"/>
    <s v="Product 1"/>
    <n v="2723"/>
    <n v="122.4057269836146"/>
    <x v="1"/>
    <x v="0"/>
    <s v="met the target"/>
    <n v="2600.5942730163856"/>
    <n v="244.81145396722877"/>
    <n v="2355.7828190491568"/>
  </r>
  <r>
    <x v="10"/>
    <x v="0"/>
    <x v="8"/>
    <s v="Manager B"/>
    <s v="Product 2"/>
    <n v="1130"/>
    <n v="60.459503510876779"/>
    <x v="1"/>
    <x v="1"/>
    <s v="Did not meet the target"/>
    <n v="1069.5404964891231"/>
    <n v="120.91900702175371"/>
    <n v="948.62148946736943"/>
  </r>
  <r>
    <x v="11"/>
    <x v="0"/>
    <x v="9"/>
    <s v="Manager B"/>
    <s v="Product 3"/>
    <n v="4113"/>
    <n v="211.60192142861189"/>
    <x v="1"/>
    <x v="2"/>
    <s v="Exceeded the target"/>
    <n v="3901.3980785713879"/>
    <n v="423.20384285722366"/>
    <n v="3478.1942357141643"/>
  </r>
  <r>
    <x v="11"/>
    <x v="0"/>
    <x v="10"/>
    <s v="Manager B"/>
    <s v="Product 2"/>
    <n v="3830"/>
    <n v="193.03458177515591"/>
    <x v="1"/>
    <x v="1"/>
    <s v="met the target"/>
    <n v="3636.9654182248441"/>
    <n v="386.06916355031171"/>
    <n v="3250.8962546745324"/>
  </r>
  <r>
    <x v="11"/>
    <x v="0"/>
    <x v="11"/>
    <s v="Manager B"/>
    <s v="Product 1"/>
    <n v="2435"/>
    <n v="114.97119760808521"/>
    <x v="1"/>
    <x v="0"/>
    <s v="Did not meet the target"/>
    <n v="2320.0288023919147"/>
    <n v="229.94239521617055"/>
    <n v="2090.0864071757442"/>
  </r>
  <r>
    <x v="0"/>
    <x v="0"/>
    <x v="0"/>
    <s v="Manager C"/>
    <s v="Product 2"/>
    <n v="4431"/>
    <n v="170.12270606835071"/>
    <x v="2"/>
    <x v="1"/>
    <s v="Exceeded the target"/>
    <n v="4260.8772939316495"/>
    <n v="340.24541213670091"/>
    <n v="3920.6318817949486"/>
  </r>
  <r>
    <x v="0"/>
    <x v="0"/>
    <x v="1"/>
    <s v="Manager C"/>
    <s v="Product 1"/>
    <n v="2731"/>
    <n v="125.4316688364859"/>
    <x v="2"/>
    <x v="0"/>
    <s v="met the target"/>
    <n v="2605.5683311635139"/>
    <n v="250.86333767297219"/>
    <n v="2354.7049934905417"/>
  </r>
  <r>
    <x v="0"/>
    <x v="0"/>
    <x v="2"/>
    <s v="Manager C"/>
    <s v="Product 3"/>
    <n v="2033"/>
    <n v="76.131215238188943"/>
    <x v="2"/>
    <x v="2"/>
    <s v="Did not meet the target"/>
    <n v="1956.868784761811"/>
    <n v="152.26243047637786"/>
    <n v="1804.6063542854331"/>
  </r>
  <r>
    <x v="1"/>
    <x v="0"/>
    <x v="3"/>
    <s v="Manager C"/>
    <s v="Product 2"/>
    <n v="3135"/>
    <n v="179.24585379672041"/>
    <x v="2"/>
    <x v="1"/>
    <s v="met the target"/>
    <n v="2955.7541462032796"/>
    <n v="358.49170759344088"/>
    <n v="2597.2624386098387"/>
  </r>
  <r>
    <x v="1"/>
    <x v="0"/>
    <x v="4"/>
    <s v="Manager C"/>
    <s v="Product 3"/>
    <n v="3222"/>
    <n v="155.1324493263831"/>
    <x v="2"/>
    <x v="2"/>
    <s v="met the target"/>
    <n v="3066.8675506736167"/>
    <n v="310.26489865276653"/>
    <n v="2756.6026520208502"/>
  </r>
  <r>
    <x v="1"/>
    <x v="0"/>
    <x v="5"/>
    <s v="Manager C"/>
    <s v="Product 1"/>
    <n v="3599"/>
    <n v="117.6512569454493"/>
    <x v="2"/>
    <x v="0"/>
    <s v="met the target"/>
    <n v="3481.3487430545506"/>
    <n v="235.30251389089881"/>
    <n v="3246.0462291636518"/>
  </r>
  <r>
    <x v="2"/>
    <x v="0"/>
    <x v="6"/>
    <s v="Manager C"/>
    <s v="Product 2"/>
    <n v="2871"/>
    <n v="186.34520127157879"/>
    <x v="2"/>
    <x v="1"/>
    <s v="met the target"/>
    <n v="2684.6547987284212"/>
    <n v="372.69040254315769"/>
    <n v="2311.9643961852635"/>
  </r>
  <r>
    <x v="2"/>
    <x v="0"/>
    <x v="7"/>
    <s v="Manager C"/>
    <s v="Product 3"/>
    <n v="4503"/>
    <n v="184.3603913109923"/>
    <x v="2"/>
    <x v="2"/>
    <s v="Exceeded the target"/>
    <n v="4318.6396086890081"/>
    <n v="368.72078262198374"/>
    <n v="3949.9188260670244"/>
  </r>
  <r>
    <x v="2"/>
    <x v="0"/>
    <x v="8"/>
    <s v="Manager C"/>
    <s v="Product 1"/>
    <n v="3046"/>
    <n v="168.01514782314561"/>
    <x v="2"/>
    <x v="0"/>
    <s v="met the target"/>
    <n v="2877.9848521768545"/>
    <n v="336.03029564629105"/>
    <n v="2541.9545565305634"/>
  </r>
  <r>
    <x v="3"/>
    <x v="0"/>
    <x v="9"/>
    <s v="Manager C"/>
    <s v="Product 1"/>
    <n v="4337"/>
    <n v="203.78443511901131"/>
    <x v="2"/>
    <x v="0"/>
    <s v="Exceeded the target"/>
    <n v="4133.2155648809885"/>
    <n v="407.56887023802301"/>
    <n v="3725.6466946429655"/>
  </r>
  <r>
    <x v="3"/>
    <x v="0"/>
    <x v="10"/>
    <s v="Manager C"/>
    <s v="Product 2"/>
    <n v="3745"/>
    <n v="168.400663054067"/>
    <x v="2"/>
    <x v="1"/>
    <s v="met the target"/>
    <n v="3576.5993369459329"/>
    <n v="336.80132610813416"/>
    <n v="3239.7980108377988"/>
  </r>
  <r>
    <x v="3"/>
    <x v="0"/>
    <x v="11"/>
    <s v="Manager C"/>
    <s v="Product 3"/>
    <n v="1639"/>
    <n v="79.562004821356993"/>
    <x v="2"/>
    <x v="2"/>
    <s v="Did not meet the target"/>
    <n v="1559.437995178643"/>
    <n v="159.1240096427141"/>
    <n v="1400.3139855359289"/>
  </r>
  <r>
    <x v="4"/>
    <x v="0"/>
    <x v="0"/>
    <s v="Manager C"/>
    <s v="Product 2"/>
    <n v="3176"/>
    <n v="214.75247432491739"/>
    <x v="2"/>
    <x v="1"/>
    <s v="met the target"/>
    <n v="2961.2475256750827"/>
    <n v="429.50494864983466"/>
    <n v="2531.742577025248"/>
  </r>
  <r>
    <x v="4"/>
    <x v="0"/>
    <x v="1"/>
    <s v="Manager C"/>
    <s v="Product 3"/>
    <n v="2956"/>
    <n v="179.1720580101356"/>
    <x v="2"/>
    <x v="2"/>
    <s v="met the target"/>
    <n v="2776.8279419898645"/>
    <n v="358.34411602027103"/>
    <n v="2418.4838259695935"/>
  </r>
  <r>
    <x v="4"/>
    <x v="0"/>
    <x v="2"/>
    <s v="Manager C"/>
    <s v="Product 1"/>
    <n v="3176"/>
    <n v="140.4570422164584"/>
    <x v="2"/>
    <x v="0"/>
    <s v="met the target"/>
    <n v="3035.5429577835416"/>
    <n v="280.91408443291675"/>
    <n v="2754.6288733506249"/>
  </r>
  <r>
    <x v="5"/>
    <x v="0"/>
    <x v="3"/>
    <s v="Manager C"/>
    <s v="Product 3"/>
    <n v="2345"/>
    <n v="125.3552735882775"/>
    <x v="2"/>
    <x v="2"/>
    <s v="Did not meet the target"/>
    <n v="2219.6447264117223"/>
    <n v="250.71054717655534"/>
    <n v="1968.934179235167"/>
  </r>
  <r>
    <x v="5"/>
    <x v="0"/>
    <x v="4"/>
    <s v="Manager C"/>
    <s v="Product 1"/>
    <n v="1888"/>
    <n v="115.9347479159874"/>
    <x v="2"/>
    <x v="0"/>
    <s v="Did not meet the target"/>
    <n v="1772.0652520840126"/>
    <n v="231.86949583197475"/>
    <n v="1540.1957562520379"/>
  </r>
  <r>
    <x v="5"/>
    <x v="0"/>
    <x v="5"/>
    <s v="Manager C"/>
    <s v="Product 2"/>
    <n v="1257"/>
    <n v="51.875389717308558"/>
    <x v="2"/>
    <x v="1"/>
    <s v="Did not meet the target"/>
    <n v="1205.1246102826915"/>
    <n v="103.75077943461702"/>
    <n v="1101.3738308480745"/>
  </r>
  <r>
    <x v="6"/>
    <x v="0"/>
    <x v="6"/>
    <s v="Manager C"/>
    <s v="Product 2"/>
    <n v="3681"/>
    <n v="235.42844908427409"/>
    <x v="2"/>
    <x v="1"/>
    <s v="met the target"/>
    <n v="3445.5715509157258"/>
    <n v="470.85689816854847"/>
    <n v="2974.7146527471773"/>
  </r>
  <r>
    <x v="6"/>
    <x v="0"/>
    <x v="7"/>
    <s v="Manager C"/>
    <s v="Product 1"/>
    <n v="3956"/>
    <n v="165.04752982051369"/>
    <x v="2"/>
    <x v="0"/>
    <s v="met the target"/>
    <n v="3790.9524701794862"/>
    <n v="330.09505964102755"/>
    <n v="3460.8574105384587"/>
  </r>
  <r>
    <x v="6"/>
    <x v="0"/>
    <x v="8"/>
    <s v="Manager C"/>
    <s v="Product 3"/>
    <n v="1084"/>
    <n v="59.311133361543831"/>
    <x v="2"/>
    <x v="2"/>
    <s v="Did not meet the target"/>
    <n v="1024.6888666384561"/>
    <n v="118.62226672308771"/>
    <n v="906.06659991536844"/>
  </r>
  <r>
    <x v="7"/>
    <x v="0"/>
    <x v="9"/>
    <s v="Manager C"/>
    <s v="Product 1"/>
    <n v="4918"/>
    <n v="191.6676459399107"/>
    <x v="2"/>
    <x v="0"/>
    <s v="Exceeded the target"/>
    <n v="4726.3323540600895"/>
    <n v="383.33529187982094"/>
    <n v="4342.9970621802686"/>
  </r>
  <r>
    <x v="7"/>
    <x v="0"/>
    <x v="10"/>
    <s v="Manager C"/>
    <s v="Product 3"/>
    <n v="2684"/>
    <n v="173.08488131039189"/>
    <x v="2"/>
    <x v="2"/>
    <s v="met the target"/>
    <n v="2510.9151186896079"/>
    <n v="346.16976262078424"/>
    <n v="2164.7453560688236"/>
  </r>
  <r>
    <x v="7"/>
    <x v="0"/>
    <x v="11"/>
    <s v="Manager C"/>
    <s v="Product 2"/>
    <n v="2167"/>
    <n v="73.491159915942859"/>
    <x v="2"/>
    <x v="1"/>
    <s v="Did not meet the target"/>
    <n v="2093.5088400840573"/>
    <n v="146.98231983188543"/>
    <n v="1946.5265202521718"/>
  </r>
  <r>
    <x v="8"/>
    <x v="0"/>
    <x v="0"/>
    <s v="Manager C"/>
    <s v="Product 1"/>
    <n v="2472"/>
    <n v="150.3550244119545"/>
    <x v="2"/>
    <x v="0"/>
    <s v="Did not meet the target"/>
    <n v="2321.6449755880453"/>
    <n v="300.71004882390935"/>
    <n v="2020.934926764136"/>
  </r>
  <r>
    <x v="8"/>
    <x v="0"/>
    <x v="1"/>
    <s v="Manager C"/>
    <s v="Product 2"/>
    <n v="4167"/>
    <n v="149.50306685533451"/>
    <x v="2"/>
    <x v="1"/>
    <s v="Exceeded the target"/>
    <n v="4017.4969331446655"/>
    <n v="299.00613371066902"/>
    <n v="3718.4907994339965"/>
  </r>
  <r>
    <x v="8"/>
    <x v="0"/>
    <x v="2"/>
    <s v="Manager C"/>
    <s v="Product 3"/>
    <n v="4269"/>
    <n v="141.64919082251441"/>
    <x v="2"/>
    <x v="2"/>
    <s v="Exceeded the target"/>
    <n v="4127.3508091774856"/>
    <n v="283.29838164502871"/>
    <n v="3844.0524275324569"/>
  </r>
  <r>
    <x v="9"/>
    <x v="0"/>
    <x v="3"/>
    <s v="Manager C"/>
    <s v="Product 3"/>
    <n v="3965"/>
    <n v="229.27619567832281"/>
    <x v="2"/>
    <x v="2"/>
    <s v="met the target"/>
    <n v="3735.7238043216771"/>
    <n v="458.55239135664533"/>
    <n v="3277.1714129650318"/>
  </r>
  <r>
    <x v="9"/>
    <x v="0"/>
    <x v="4"/>
    <s v="Manager C"/>
    <s v="Product 2"/>
    <n v="3023"/>
    <n v="173.31237909442549"/>
    <x v="2"/>
    <x v="1"/>
    <s v="met the target"/>
    <n v="2849.6876209055745"/>
    <n v="346.62475818885105"/>
    <n v="2503.0628627167234"/>
  </r>
  <r>
    <x v="9"/>
    <x v="0"/>
    <x v="5"/>
    <s v="Manager C"/>
    <s v="Product 1"/>
    <n v="1368"/>
    <n v="66.000011815322239"/>
    <x v="2"/>
    <x v="0"/>
    <s v="Did not meet the target"/>
    <n v="1301.9999881846777"/>
    <n v="132.00002363064459"/>
    <n v="1169.9999645540331"/>
  </r>
  <r>
    <x v="10"/>
    <x v="0"/>
    <x v="6"/>
    <s v="Manager C"/>
    <s v="Product 2"/>
    <n v="4646"/>
    <n v="176.00056742969929"/>
    <x v="2"/>
    <x v="1"/>
    <s v="Exceeded the target"/>
    <n v="4469.999432570301"/>
    <n v="352.00113485939801"/>
    <n v="4117.998297710903"/>
  </r>
  <r>
    <x v="10"/>
    <x v="0"/>
    <x v="7"/>
    <s v="Manager C"/>
    <s v="Product 1"/>
    <n v="3146"/>
    <n v="141.04811625357911"/>
    <x v="2"/>
    <x v="0"/>
    <s v="met the target"/>
    <n v="3004.9518837464211"/>
    <n v="282.09623250715777"/>
    <n v="2722.8556512392634"/>
  </r>
  <r>
    <x v="10"/>
    <x v="0"/>
    <x v="8"/>
    <s v="Manager C"/>
    <s v="Product 3"/>
    <n v="1931"/>
    <n v="93.449268461314006"/>
    <x v="2"/>
    <x v="2"/>
    <s v="Did not meet the target"/>
    <n v="1837.550731538686"/>
    <n v="186.89853692262795"/>
    <n v="1650.6521946160581"/>
  </r>
  <r>
    <x v="11"/>
    <x v="0"/>
    <x v="9"/>
    <s v="Manager C"/>
    <s v="Product 1"/>
    <n v="4130"/>
    <n v="236.466042751754"/>
    <x v="2"/>
    <x v="0"/>
    <s v="Exceeded the target"/>
    <n v="3893.5339572482462"/>
    <n v="472.93208550350755"/>
    <n v="3420.6018717447387"/>
  </r>
  <r>
    <x v="11"/>
    <x v="0"/>
    <x v="10"/>
    <s v="Manager C"/>
    <s v="Product 2"/>
    <n v="3753"/>
    <n v="154.2627261914927"/>
    <x v="2"/>
    <x v="1"/>
    <s v="met the target"/>
    <n v="3598.7372738085073"/>
    <n v="308.52545238298535"/>
    <n v="3290.211821425522"/>
  </r>
  <r>
    <x v="11"/>
    <x v="0"/>
    <x v="11"/>
    <s v="Manager C"/>
    <s v="Product 3"/>
    <n v="4108"/>
    <n v="144.41436811742571"/>
    <x v="2"/>
    <x v="2"/>
    <s v="Exceeded the target"/>
    <n v="3963.5856318825745"/>
    <n v="288.82873623485102"/>
    <n v="3674.7568956477235"/>
  </r>
  <r>
    <x v="0"/>
    <x v="0"/>
    <x v="0"/>
    <s v="Manager D"/>
    <s v="Product 1"/>
    <n v="4795"/>
    <n v="324.98062439891851"/>
    <x v="3"/>
    <x v="0"/>
    <s v="Exceeded the target"/>
    <n v="4470.0193756010813"/>
    <n v="649.96124879783747"/>
    <n v="3820.0581268032438"/>
  </r>
  <r>
    <x v="0"/>
    <x v="0"/>
    <x v="1"/>
    <s v="Manager D"/>
    <s v="Product 3"/>
    <n v="2778"/>
    <n v="137.83978281358401"/>
    <x v="3"/>
    <x v="2"/>
    <s v="met the target"/>
    <n v="2640.160217186416"/>
    <n v="275.6795656271679"/>
    <n v="2364.4806515592481"/>
  </r>
  <r>
    <x v="0"/>
    <x v="0"/>
    <x v="2"/>
    <s v="Manager D"/>
    <s v="Product 2"/>
    <n v="1277"/>
    <n v="76.08625461111761"/>
    <x v="3"/>
    <x v="1"/>
    <s v="Did not meet the target"/>
    <n v="1200.9137453888825"/>
    <n v="152.17250922223502"/>
    <n v="1048.7412361666475"/>
  </r>
  <r>
    <x v="1"/>
    <x v="0"/>
    <x v="3"/>
    <s v="Manager D"/>
    <s v="Product 2"/>
    <n v="3897"/>
    <n v="256.68312115912858"/>
    <x v="3"/>
    <x v="1"/>
    <s v="met the target"/>
    <n v="3640.3168788408716"/>
    <n v="513.36624231825726"/>
    <n v="3126.9506365226143"/>
  </r>
  <r>
    <x v="1"/>
    <x v="0"/>
    <x v="4"/>
    <s v="Manager D"/>
    <s v="Product 1"/>
    <n v="4672"/>
    <n v="240.435922971998"/>
    <x v="3"/>
    <x v="0"/>
    <s v="Exceeded the target"/>
    <n v="4431.5640770280024"/>
    <n v="480.87184594399514"/>
    <n v="3950.6922310840073"/>
  </r>
  <r>
    <x v="1"/>
    <x v="0"/>
    <x v="5"/>
    <s v="Manager D"/>
    <s v="Product 3"/>
    <n v="2701"/>
    <n v="188.02621987673999"/>
    <x v="3"/>
    <x v="2"/>
    <s v="met the target"/>
    <n v="2512.97378012326"/>
    <n v="376.05243975348003"/>
    <n v="2136.92134036978"/>
  </r>
  <r>
    <x v="2"/>
    <x v="0"/>
    <x v="6"/>
    <s v="Manager D"/>
    <s v="Product 1"/>
    <n v="3496"/>
    <n v="216.47886925433289"/>
    <x v="3"/>
    <x v="0"/>
    <s v="met the target"/>
    <n v="3279.5211307456671"/>
    <n v="432.9577385086659"/>
    <n v="2846.5633922370012"/>
  </r>
  <r>
    <x v="2"/>
    <x v="0"/>
    <x v="7"/>
    <s v="Manager D"/>
    <s v="Product 2"/>
    <n v="3898"/>
    <n v="145.88435643618399"/>
    <x v="3"/>
    <x v="1"/>
    <s v="met the target"/>
    <n v="3752.1156435638159"/>
    <n v="291.76871287236827"/>
    <n v="3460.3469306914476"/>
  </r>
  <r>
    <x v="2"/>
    <x v="0"/>
    <x v="8"/>
    <s v="Manager D"/>
    <s v="Product 3"/>
    <n v="1099"/>
    <n v="74.854721240486683"/>
    <x v="3"/>
    <x v="2"/>
    <s v="Did not meet the target"/>
    <n v="1024.1452787595133"/>
    <n v="149.70944248097339"/>
    <n v="874.43583627853991"/>
  </r>
  <r>
    <x v="3"/>
    <x v="0"/>
    <x v="9"/>
    <s v="Manager D"/>
    <s v="Product 2"/>
    <n v="3591"/>
    <n v="192.01570352525141"/>
    <x v="3"/>
    <x v="1"/>
    <s v="met the target"/>
    <n v="3398.9842964747486"/>
    <n v="384.03140705050282"/>
    <n v="3014.9528894242458"/>
  </r>
  <r>
    <x v="3"/>
    <x v="0"/>
    <x v="10"/>
    <s v="Manager D"/>
    <s v="Product 3"/>
    <n v="1714"/>
    <n v="110.64594034209679"/>
    <x v="3"/>
    <x v="2"/>
    <s v="Did not meet the target"/>
    <n v="1603.3540596579032"/>
    <n v="221.29188068419353"/>
    <n v="1382.0621789737097"/>
  </r>
  <r>
    <x v="3"/>
    <x v="0"/>
    <x v="11"/>
    <s v="Manager D"/>
    <s v="Product 1"/>
    <n v="1544"/>
    <n v="63.466348900762647"/>
    <x v="3"/>
    <x v="0"/>
    <s v="Did not meet the target"/>
    <n v="1480.5336510992374"/>
    <n v="126.93269780152514"/>
    <n v="1353.6009532977123"/>
  </r>
  <r>
    <x v="4"/>
    <x v="0"/>
    <x v="0"/>
    <s v="Manager D"/>
    <s v="Product 1"/>
    <n v="4125"/>
    <n v="247.2794972753403"/>
    <x v="3"/>
    <x v="0"/>
    <s v="Exceeded the target"/>
    <n v="3877.7205027246596"/>
    <n v="494.55899455068038"/>
    <n v="3383.1615081739792"/>
  </r>
  <r>
    <x v="4"/>
    <x v="0"/>
    <x v="1"/>
    <s v="Manager D"/>
    <s v="Product 2"/>
    <n v="2925"/>
    <n v="193.48520955027419"/>
    <x v="3"/>
    <x v="1"/>
    <s v="met the target"/>
    <n v="2731.5147904497258"/>
    <n v="386.9704191005485"/>
    <n v="2344.5443713491773"/>
  </r>
  <r>
    <x v="4"/>
    <x v="0"/>
    <x v="2"/>
    <s v="Manager D"/>
    <s v="Product 3"/>
    <n v="4622"/>
    <n v="154.0831398645204"/>
    <x v="3"/>
    <x v="2"/>
    <s v="Exceeded the target"/>
    <n v="4467.9168601354795"/>
    <n v="308.16627972904098"/>
    <n v="4159.7505804064385"/>
  </r>
  <r>
    <x v="5"/>
    <x v="0"/>
    <x v="3"/>
    <s v="Manager D"/>
    <s v="Product 3"/>
    <n v="4942"/>
    <n v="341.49123922468232"/>
    <x v="3"/>
    <x v="2"/>
    <s v="Exceeded the target"/>
    <n v="4600.5087607753176"/>
    <n v="682.98247844936486"/>
    <n v="3917.5262823259527"/>
  </r>
  <r>
    <x v="5"/>
    <x v="0"/>
    <x v="4"/>
    <s v="Manager D"/>
    <s v="Product 2"/>
    <n v="3339"/>
    <n v="165.03042171302829"/>
    <x v="3"/>
    <x v="1"/>
    <s v="met the target"/>
    <n v="3173.9695782869717"/>
    <n v="330.06084342605664"/>
    <n v="2843.908734860915"/>
  </r>
  <r>
    <x v="5"/>
    <x v="0"/>
    <x v="5"/>
    <s v="Manager D"/>
    <s v="Product 1"/>
    <n v="3105"/>
    <n v="101.0932440522258"/>
    <x v="3"/>
    <x v="0"/>
    <s v="met the target"/>
    <n v="3003.9067559477744"/>
    <n v="202.1864881044512"/>
    <n v="2801.7202678433232"/>
  </r>
  <r>
    <x v="6"/>
    <x v="0"/>
    <x v="6"/>
    <s v="Manager D"/>
    <s v="Product 1"/>
    <n v="3251"/>
    <n v="99.251320982967286"/>
    <x v="3"/>
    <x v="0"/>
    <s v="met the target"/>
    <n v="3151.7486790170328"/>
    <n v="198.50264196593434"/>
    <n v="2953.2460370510985"/>
  </r>
  <r>
    <x v="6"/>
    <x v="0"/>
    <x v="7"/>
    <s v="Manager D"/>
    <s v="Product 3"/>
    <n v="1774"/>
    <n v="63.732075492881791"/>
    <x v="3"/>
    <x v="2"/>
    <s v="Did not meet the target"/>
    <n v="1710.2679245071181"/>
    <n v="127.46415098576381"/>
    <n v="1582.8037735213543"/>
  </r>
  <r>
    <x v="6"/>
    <x v="0"/>
    <x v="8"/>
    <s v="Manager D"/>
    <s v="Product 2"/>
    <n v="1324"/>
    <n v="58.109487109690342"/>
    <x v="3"/>
    <x v="1"/>
    <s v="Did not meet the target"/>
    <n v="1265.8905128903098"/>
    <n v="116.21897421938047"/>
    <n v="1149.6715386709293"/>
  </r>
  <r>
    <x v="7"/>
    <x v="0"/>
    <x v="9"/>
    <s v="Manager D"/>
    <s v="Product 1"/>
    <n v="4299"/>
    <n v="296.27323533241753"/>
    <x v="3"/>
    <x v="0"/>
    <s v="Exceeded the target"/>
    <n v="4002.7267646675823"/>
    <n v="592.54647066483494"/>
    <n v="3410.1802940027474"/>
  </r>
  <r>
    <x v="7"/>
    <x v="0"/>
    <x v="10"/>
    <s v="Manager D"/>
    <s v="Product 2"/>
    <n v="4002"/>
    <n v="273.87041206272511"/>
    <x v="3"/>
    <x v="1"/>
    <s v="Exceeded the target"/>
    <n v="3728.1295879372747"/>
    <n v="547.74082412545067"/>
    <n v="3180.388763811824"/>
  </r>
  <r>
    <x v="7"/>
    <x v="0"/>
    <x v="11"/>
    <s v="Manager D"/>
    <s v="Product 3"/>
    <n v="3839"/>
    <n v="254.3806624604043"/>
    <x v="3"/>
    <x v="2"/>
    <s v="met the target"/>
    <n v="3584.6193375395956"/>
    <n v="508.76132492080887"/>
    <n v="3075.8580126187867"/>
  </r>
  <r>
    <x v="8"/>
    <x v="0"/>
    <x v="0"/>
    <s v="Manager D"/>
    <s v="Product 1"/>
    <n v="4678"/>
    <n v="157.10651976672781"/>
    <x v="3"/>
    <x v="0"/>
    <s v="Exceeded the target"/>
    <n v="4520.8934802332724"/>
    <n v="314.21303953345523"/>
    <n v="4206.6804406998172"/>
  </r>
  <r>
    <x v="8"/>
    <x v="0"/>
    <x v="1"/>
    <s v="Manager D"/>
    <s v="Product 3"/>
    <n v="2905"/>
    <n v="115.6616697849006"/>
    <x v="3"/>
    <x v="2"/>
    <s v="met the target"/>
    <n v="2789.3383302150996"/>
    <n v="231.32333956980074"/>
    <n v="2558.0149906452989"/>
  </r>
  <r>
    <x v="8"/>
    <x v="0"/>
    <x v="2"/>
    <s v="Manager D"/>
    <s v="Product 2"/>
    <n v="1256"/>
    <n v="71.443681841460659"/>
    <x v="3"/>
    <x v="1"/>
    <s v="Did not meet the target"/>
    <n v="1184.5563181585394"/>
    <n v="142.8873636829212"/>
    <n v="1041.6689544756182"/>
  </r>
  <r>
    <x v="9"/>
    <x v="0"/>
    <x v="3"/>
    <s v="Manager D"/>
    <s v="Product 2"/>
    <n v="3431"/>
    <n v="155.07117542773261"/>
    <x v="3"/>
    <x v="1"/>
    <s v="met the target"/>
    <n v="3275.9288245722673"/>
    <n v="310.14235085546534"/>
    <n v="2965.786473716802"/>
  </r>
  <r>
    <x v="9"/>
    <x v="0"/>
    <x v="4"/>
    <s v="Manager D"/>
    <s v="Product 3"/>
    <n v="2536"/>
    <n v="94.455953558591446"/>
    <x v="3"/>
    <x v="2"/>
    <s v="met the target"/>
    <n v="2441.5440464414087"/>
    <n v="188.91190711718264"/>
    <n v="2252.632139324226"/>
  </r>
  <r>
    <x v="9"/>
    <x v="0"/>
    <x v="5"/>
    <s v="Manager D"/>
    <s v="Product 1"/>
    <n v="1201"/>
    <n v="49.650245389807267"/>
    <x v="3"/>
    <x v="0"/>
    <s v="Did not meet the target"/>
    <n v="1151.3497546101928"/>
    <n v="99.300490779614393"/>
    <n v="1052.0492638305784"/>
  </r>
  <r>
    <x v="10"/>
    <x v="0"/>
    <x v="6"/>
    <s v="Manager D"/>
    <s v="Product 2"/>
    <n v="3171"/>
    <n v="196.5761099989372"/>
    <x v="3"/>
    <x v="1"/>
    <s v="met the target"/>
    <n v="2974.4238900010628"/>
    <n v="393.15221999787445"/>
    <n v="2581.2716700031883"/>
  </r>
  <r>
    <x v="10"/>
    <x v="0"/>
    <x v="7"/>
    <s v="Manager D"/>
    <s v="Product 1"/>
    <n v="3782"/>
    <n v="120.2089489337224"/>
    <x v="3"/>
    <x v="0"/>
    <s v="met the target"/>
    <n v="3661.7910510662778"/>
    <n v="240.41789786744448"/>
    <n v="3421.3731531988333"/>
  </r>
  <r>
    <x v="10"/>
    <x v="0"/>
    <x v="8"/>
    <s v="Manager D"/>
    <s v="Product 3"/>
    <n v="2987"/>
    <n v="98.804756285962867"/>
    <x v="3"/>
    <x v="2"/>
    <s v="met the target"/>
    <n v="2888.1952437140371"/>
    <n v="197.60951257192573"/>
    <n v="2690.5857311421114"/>
  </r>
  <r>
    <x v="11"/>
    <x v="0"/>
    <x v="9"/>
    <s v="Manager D"/>
    <s v="Product 1"/>
    <n v="3826"/>
    <n v="174.87508553876731"/>
    <x v="3"/>
    <x v="0"/>
    <s v="met the target"/>
    <n v="3651.1249144612325"/>
    <n v="349.75017107753501"/>
    <n v="3301.3747433836975"/>
  </r>
  <r>
    <x v="11"/>
    <x v="0"/>
    <x v="10"/>
    <s v="Manager D"/>
    <s v="Product 3"/>
    <n v="4115"/>
    <n v="154.25174478218909"/>
    <x v="3"/>
    <x v="2"/>
    <s v="Exceeded the target"/>
    <n v="3960.7482552178108"/>
    <n v="308.50348956437847"/>
    <n v="3652.2447656534323"/>
  </r>
  <r>
    <x v="11"/>
    <x v="0"/>
    <x v="11"/>
    <s v="Manager D"/>
    <s v="Product 2"/>
    <n v="1086"/>
    <n v="74.126264598256014"/>
    <x v="3"/>
    <x v="1"/>
    <s v="Did not meet the target"/>
    <n v="1011.8737354017439"/>
    <n v="148.25252919651211"/>
    <n v="863.62120620523183"/>
  </r>
  <r>
    <x v="0"/>
    <x v="0"/>
    <x v="0"/>
    <s v="Manager E"/>
    <s v="Product 2"/>
    <n v="3647"/>
    <n v="146.51552356066489"/>
    <x v="4"/>
    <x v="1"/>
    <s v="met the target"/>
    <n v="3500.4844764393351"/>
    <n v="293.03104712132972"/>
    <n v="3207.4534293180054"/>
  </r>
  <r>
    <x v="0"/>
    <x v="0"/>
    <x v="1"/>
    <s v="Manager E"/>
    <s v="Product 3"/>
    <n v="4142"/>
    <n v="133.87427128245969"/>
    <x v="4"/>
    <x v="2"/>
    <s v="Exceeded the target"/>
    <n v="4008.1257287175404"/>
    <n v="267.74854256491926"/>
    <n v="3740.3771861526211"/>
  </r>
  <r>
    <x v="0"/>
    <x v="0"/>
    <x v="2"/>
    <s v="Manager E"/>
    <s v="Product 1"/>
    <n v="2828"/>
    <n v="110.56514271634229"/>
    <x v="4"/>
    <x v="0"/>
    <s v="met the target"/>
    <n v="2717.4348572836575"/>
    <n v="221.13028543268501"/>
    <n v="2496.3045718509725"/>
  </r>
  <r>
    <x v="1"/>
    <x v="0"/>
    <x v="3"/>
    <s v="Manager E"/>
    <s v="Product 2"/>
    <n v="3893"/>
    <n v="220.0445377867477"/>
    <x v="4"/>
    <x v="1"/>
    <s v="met the target"/>
    <n v="3672.9554622132523"/>
    <n v="440.08907557349494"/>
    <n v="3232.8663866397574"/>
  </r>
  <r>
    <x v="1"/>
    <x v="0"/>
    <x v="4"/>
    <s v="Manager E"/>
    <s v="Product 3"/>
    <n v="3120"/>
    <n v="126.4626326167964"/>
    <x v="4"/>
    <x v="2"/>
    <s v="met the target"/>
    <n v="2993.5373673832037"/>
    <n v="252.92526523359265"/>
    <n v="2740.612102149611"/>
  </r>
  <r>
    <x v="1"/>
    <x v="0"/>
    <x v="5"/>
    <s v="Manager E"/>
    <s v="Product 1"/>
    <n v="1537"/>
    <n v="59.444826600818168"/>
    <x v="4"/>
    <x v="0"/>
    <s v="Did not meet the target"/>
    <n v="1477.5551733991817"/>
    <n v="118.88965320163652"/>
    <n v="1358.6655201975452"/>
  </r>
  <r>
    <x v="2"/>
    <x v="0"/>
    <x v="6"/>
    <s v="Manager E"/>
    <s v="Product 1"/>
    <n v="3008"/>
    <n v="172.95858941498199"/>
    <x v="4"/>
    <x v="0"/>
    <s v="met the target"/>
    <n v="2835.0414105850182"/>
    <n v="345.91717882996363"/>
    <n v="2489.1242317550546"/>
  </r>
  <r>
    <x v="2"/>
    <x v="0"/>
    <x v="7"/>
    <s v="Manager E"/>
    <s v="Product 2"/>
    <n v="4249"/>
    <n v="164.09768480222041"/>
    <x v="4"/>
    <x v="1"/>
    <s v="Exceeded the target"/>
    <n v="4084.9023151977794"/>
    <n v="328.19536960444066"/>
    <n v="3756.7069455933388"/>
  </r>
  <r>
    <x v="2"/>
    <x v="0"/>
    <x v="8"/>
    <s v="Manager E"/>
    <s v="Product 3"/>
    <n v="1755"/>
    <n v="119.1554154523225"/>
    <x v="4"/>
    <x v="2"/>
    <s v="Did not meet the target"/>
    <n v="1635.8445845476774"/>
    <n v="238.31083090464517"/>
    <n v="1397.5337536430322"/>
  </r>
  <r>
    <x v="3"/>
    <x v="0"/>
    <x v="9"/>
    <s v="Manager E"/>
    <s v="Product 3"/>
    <n v="3723"/>
    <n v="131.35758239692021"/>
    <x v="4"/>
    <x v="2"/>
    <s v="met the target"/>
    <n v="3591.6424176030796"/>
    <n v="262.71516479384081"/>
    <n v="3328.9272528092388"/>
  </r>
  <r>
    <x v="3"/>
    <x v="0"/>
    <x v="10"/>
    <s v="Manager E"/>
    <s v="Product 1"/>
    <n v="3292"/>
    <n v="114.2365947930805"/>
    <x v="4"/>
    <x v="0"/>
    <s v="met the target"/>
    <n v="3177.7634052069193"/>
    <n v="228.47318958616142"/>
    <n v="2949.2902156207579"/>
  </r>
  <r>
    <x v="3"/>
    <x v="0"/>
    <x v="11"/>
    <s v="Manager E"/>
    <s v="Product 2"/>
    <n v="1151"/>
    <n v="58.350134093375416"/>
    <x v="4"/>
    <x v="1"/>
    <s v="Did not meet the target"/>
    <n v="1092.6498659066247"/>
    <n v="116.70026818675069"/>
    <n v="975.94959771987396"/>
  </r>
  <r>
    <x v="4"/>
    <x v="0"/>
    <x v="0"/>
    <s v="Manager E"/>
    <s v="Product 1"/>
    <n v="4560"/>
    <n v="237.51990651384691"/>
    <x v="4"/>
    <x v="0"/>
    <s v="Exceeded the target"/>
    <n v="4322.4800934861532"/>
    <n v="475.03981302769353"/>
    <n v="3847.4402804584597"/>
  </r>
  <r>
    <x v="4"/>
    <x v="0"/>
    <x v="1"/>
    <s v="Manager E"/>
    <s v="Product 2"/>
    <n v="1756"/>
    <n v="93.733599083453214"/>
    <x v="4"/>
    <x v="1"/>
    <s v="Did not meet the target"/>
    <n v="1662.2664009165469"/>
    <n v="187.4671981669062"/>
    <n v="1474.7992027496407"/>
  </r>
  <r>
    <x v="4"/>
    <x v="0"/>
    <x v="2"/>
    <s v="Manager E"/>
    <s v="Product 3"/>
    <n v="1273"/>
    <n v="87.171800395624899"/>
    <x v="4"/>
    <x v="2"/>
    <s v="Did not meet the target"/>
    <n v="1185.8281996043752"/>
    <n v="174.34360079124963"/>
    <n v="1011.4845988131256"/>
  </r>
  <r>
    <x v="5"/>
    <x v="0"/>
    <x v="3"/>
    <s v="Manager E"/>
    <s v="Product 1"/>
    <n v="4191"/>
    <n v="272.6673393248733"/>
    <x v="4"/>
    <x v="0"/>
    <s v="Exceeded the target"/>
    <n v="3918.3326606751266"/>
    <n v="545.33467864974637"/>
    <n v="3372.9979820253802"/>
  </r>
  <r>
    <x v="5"/>
    <x v="0"/>
    <x v="4"/>
    <s v="Manager E"/>
    <s v="Product 2"/>
    <n v="3827"/>
    <n v="166.57537234718441"/>
    <x v="4"/>
    <x v="1"/>
    <s v="met the target"/>
    <n v="3660.4246276528156"/>
    <n v="333.15074469436877"/>
    <n v="3327.2738829584468"/>
  </r>
  <r>
    <x v="5"/>
    <x v="0"/>
    <x v="5"/>
    <s v="Manager E"/>
    <s v="Product 3"/>
    <n v="1430"/>
    <n v="97.901812839773712"/>
    <x v="4"/>
    <x v="2"/>
    <s v="Did not meet the target"/>
    <n v="1332.0981871602262"/>
    <n v="195.80362567954762"/>
    <n v="1136.2945614806786"/>
  </r>
  <r>
    <x v="6"/>
    <x v="0"/>
    <x v="6"/>
    <s v="Manager E"/>
    <s v="Product 1"/>
    <n v="4012"/>
    <n v="277.92398047803317"/>
    <x v="4"/>
    <x v="0"/>
    <s v="Exceeded the target"/>
    <n v="3734.0760195219668"/>
    <n v="555.8479609560668"/>
    <n v="3178.2280585659"/>
  </r>
  <r>
    <x v="6"/>
    <x v="0"/>
    <x v="7"/>
    <s v="Manager E"/>
    <s v="Product 2"/>
    <n v="2071"/>
    <n v="101.7581962351926"/>
    <x v="4"/>
    <x v="1"/>
    <s v="Did not meet the target"/>
    <n v="1969.2418037648074"/>
    <n v="203.51639247038497"/>
    <n v="1765.7254112944224"/>
  </r>
  <r>
    <x v="6"/>
    <x v="0"/>
    <x v="8"/>
    <s v="Manager E"/>
    <s v="Product 3"/>
    <n v="1639"/>
    <n v="81.778977922092338"/>
    <x v="4"/>
    <x v="2"/>
    <s v="Did not meet the target"/>
    <n v="1557.2210220779077"/>
    <n v="163.55795584418456"/>
    <n v="1393.6630662337232"/>
  </r>
  <r>
    <x v="7"/>
    <x v="0"/>
    <x v="9"/>
    <s v="Manager E"/>
    <s v="Product 1"/>
    <n v="3767"/>
    <n v="229.64345209103089"/>
    <x v="4"/>
    <x v="0"/>
    <s v="met the target"/>
    <n v="3537.3565479089693"/>
    <n v="459.28690418206133"/>
    <n v="3078.069643726908"/>
  </r>
  <r>
    <x v="7"/>
    <x v="0"/>
    <x v="10"/>
    <s v="Manager E"/>
    <s v="Product 2"/>
    <n v="3957"/>
    <n v="171.4402146630934"/>
    <x v="4"/>
    <x v="1"/>
    <s v="met the target"/>
    <n v="3785.5597853369068"/>
    <n v="342.88042932618691"/>
    <n v="3442.6793560107199"/>
  </r>
  <r>
    <x v="7"/>
    <x v="0"/>
    <x v="11"/>
    <s v="Manager E"/>
    <s v="Product 3"/>
    <n v="1373"/>
    <n v="45.644088338140783"/>
    <x v="4"/>
    <x v="2"/>
    <s v="Did not meet the target"/>
    <n v="1327.3559116618592"/>
    <n v="91.288176676281637"/>
    <n v="1236.0677349855775"/>
  </r>
  <r>
    <x v="8"/>
    <x v="0"/>
    <x v="0"/>
    <s v="Manager E"/>
    <s v="Product 1"/>
    <n v="4762"/>
    <n v="222.9643576132251"/>
    <x v="4"/>
    <x v="0"/>
    <s v="Exceeded the target"/>
    <n v="4539.0356423867752"/>
    <n v="445.92871522644964"/>
    <n v="4093.1069271603255"/>
  </r>
  <r>
    <x v="8"/>
    <x v="0"/>
    <x v="1"/>
    <s v="Manager E"/>
    <s v="Product 3"/>
    <n v="2954"/>
    <n v="190.3027266996103"/>
    <x v="4"/>
    <x v="2"/>
    <s v="met the target"/>
    <n v="2763.6972733003895"/>
    <n v="380.60545339922101"/>
    <n v="2383.0918199011685"/>
  </r>
  <r>
    <x v="8"/>
    <x v="0"/>
    <x v="2"/>
    <s v="Manager E"/>
    <s v="Product 2"/>
    <n v="2316"/>
    <n v="121.11464482824771"/>
    <x v="4"/>
    <x v="1"/>
    <s v="Did not meet the target"/>
    <n v="2194.8853551717525"/>
    <n v="242.22928965649498"/>
    <n v="1952.6560655152575"/>
  </r>
  <r>
    <x v="9"/>
    <x v="0"/>
    <x v="3"/>
    <s v="Manager E"/>
    <s v="Product 1"/>
    <n v="2930"/>
    <n v="180.31753404232401"/>
    <x v="4"/>
    <x v="0"/>
    <s v="met the target"/>
    <n v="2749.682465957676"/>
    <n v="360.63506808464808"/>
    <n v="2389.0473978730279"/>
  </r>
  <r>
    <x v="9"/>
    <x v="0"/>
    <x v="4"/>
    <s v="Manager E"/>
    <s v="Product 2"/>
    <n v="3418"/>
    <n v="110.3122690099526"/>
    <x v="4"/>
    <x v="1"/>
    <s v="met the target"/>
    <n v="3307.6877309900474"/>
    <n v="220.62453801990523"/>
    <n v="3087.0631929701422"/>
  </r>
  <r>
    <x v="9"/>
    <x v="0"/>
    <x v="5"/>
    <s v="Manager E"/>
    <s v="Product 3"/>
    <n v="1555"/>
    <n v="90.003228435294204"/>
    <x v="4"/>
    <x v="2"/>
    <s v="Did not meet the target"/>
    <n v="1464.9967715647058"/>
    <n v="180.00645687058841"/>
    <n v="1284.9903146941174"/>
  </r>
  <r>
    <x v="10"/>
    <x v="0"/>
    <x v="6"/>
    <s v="Manager E"/>
    <s v="Product 3"/>
    <n v="3787"/>
    <n v="201.09620588897681"/>
    <x v="4"/>
    <x v="2"/>
    <s v="met the target"/>
    <n v="3585.9037941110232"/>
    <n v="402.19241177795357"/>
    <n v="3183.7113823330697"/>
  </r>
  <r>
    <x v="10"/>
    <x v="0"/>
    <x v="7"/>
    <s v="Manager E"/>
    <s v="Product 1"/>
    <n v="3642"/>
    <n v="184.84390448177669"/>
    <x v="4"/>
    <x v="0"/>
    <s v="met the target"/>
    <n v="3457.1560955182231"/>
    <n v="369.68780896355383"/>
    <n v="3087.4682865546692"/>
  </r>
  <r>
    <x v="10"/>
    <x v="0"/>
    <x v="8"/>
    <s v="Manager E"/>
    <s v="Product 2"/>
    <n v="2966"/>
    <n v="125.3799502100421"/>
    <x v="4"/>
    <x v="1"/>
    <s v="met the target"/>
    <n v="2840.6200497899581"/>
    <n v="250.7599004200838"/>
    <n v="2589.8601493698743"/>
  </r>
  <r>
    <x v="11"/>
    <x v="0"/>
    <x v="9"/>
    <s v="Manager E"/>
    <s v="Product 3"/>
    <n v="3818"/>
    <n v="184.31951231374131"/>
    <x v="4"/>
    <x v="2"/>
    <s v="met the target"/>
    <n v="3633.6804876862589"/>
    <n v="368.63902462748229"/>
    <n v="3265.0414630587766"/>
  </r>
  <r>
    <x v="11"/>
    <x v="0"/>
    <x v="10"/>
    <s v="Manager E"/>
    <s v="Product 2"/>
    <n v="3059"/>
    <n v="158.3100960514617"/>
    <x v="4"/>
    <x v="1"/>
    <s v="met the target"/>
    <n v="2900.6899039485384"/>
    <n v="316.62019210292328"/>
    <n v="2584.0697118456151"/>
  </r>
  <r>
    <x v="11"/>
    <x v="0"/>
    <x v="11"/>
    <s v="Manager E"/>
    <s v="Product 1"/>
    <n v="1872"/>
    <n v="123.8503185450264"/>
    <x v="4"/>
    <x v="0"/>
    <s v="Did not meet the target"/>
    <n v="1748.1496814549737"/>
    <n v="247.70063709005262"/>
    <n v="1500.4490443649211"/>
  </r>
  <r>
    <x v="12"/>
    <x v="1"/>
    <x v="0"/>
    <s v="Manager A"/>
    <s v="Product 3"/>
    <n v="3080"/>
    <n v="181.61745283054211"/>
    <x v="0"/>
    <x v="2"/>
    <s v="met the target"/>
    <n v="2898.3825471694581"/>
    <n v="363.23490566108376"/>
    <n v="2535.1476415083744"/>
  </r>
  <r>
    <x v="12"/>
    <x v="1"/>
    <x v="1"/>
    <s v="Manager A"/>
    <s v="Product 2"/>
    <n v="2104"/>
    <n v="101.71610942244421"/>
    <x v="0"/>
    <x v="1"/>
    <s v="Did not meet the target"/>
    <n v="2002.2838905775559"/>
    <n v="203.43221884488844"/>
    <n v="1798.8516717326675"/>
  </r>
  <r>
    <x v="12"/>
    <x v="1"/>
    <x v="2"/>
    <s v="Manager A"/>
    <s v="Product 1"/>
    <n v="1307"/>
    <n v="85.323124926818636"/>
    <x v="0"/>
    <x v="0"/>
    <s v="Did not meet the target"/>
    <n v="1221.6768750731815"/>
    <n v="170.64624985363707"/>
    <n v="1051.0306252195444"/>
  </r>
  <r>
    <x v="13"/>
    <x v="1"/>
    <x v="3"/>
    <s v="Manager A"/>
    <s v="Product 1"/>
    <n v="2304"/>
    <n v="123.58510067623079"/>
    <x v="0"/>
    <x v="0"/>
    <s v="Did not meet the target"/>
    <n v="2180.4148993237691"/>
    <n v="247.17020135246185"/>
    <n v="1933.2446979713072"/>
  </r>
  <r>
    <x v="13"/>
    <x v="1"/>
    <x v="4"/>
    <s v="Manager A"/>
    <s v="Product 2"/>
    <n v="1637"/>
    <n v="105.273678741794"/>
    <x v="0"/>
    <x v="1"/>
    <s v="Did not meet the target"/>
    <n v="1531.7263212582061"/>
    <n v="210.5473574835878"/>
    <n v="1321.1789637746183"/>
  </r>
  <r>
    <x v="13"/>
    <x v="1"/>
    <x v="5"/>
    <s v="Manager A"/>
    <s v="Product 3"/>
    <n v="1770"/>
    <n v="85.471420497453082"/>
    <x v="0"/>
    <x v="2"/>
    <s v="Did not meet the target"/>
    <n v="1684.528579502547"/>
    <n v="170.94284099490596"/>
    <n v="1513.5857385076411"/>
  </r>
  <r>
    <x v="14"/>
    <x v="1"/>
    <x v="6"/>
    <s v="Manager A"/>
    <s v="Product 2"/>
    <n v="2272"/>
    <n v="155.31234976295249"/>
    <x v="0"/>
    <x v="1"/>
    <s v="Did not meet the target"/>
    <n v="2116.6876502370474"/>
    <n v="310.62469952590527"/>
    <n v="1806.0629507111421"/>
  </r>
  <r>
    <x v="14"/>
    <x v="1"/>
    <x v="7"/>
    <s v="Manager A"/>
    <s v="Product 1"/>
    <n v="3498"/>
    <n v="109.59998334641369"/>
    <x v="0"/>
    <x v="0"/>
    <s v="met the target"/>
    <n v="3388.4000166535861"/>
    <n v="219.19996669282773"/>
    <n v="3169.2000499607584"/>
  </r>
  <r>
    <x v="14"/>
    <x v="1"/>
    <x v="8"/>
    <s v="Manager A"/>
    <s v="Product 3"/>
    <n v="1180"/>
    <n v="52.173409647875083"/>
    <x v="0"/>
    <x v="2"/>
    <s v="Did not meet the target"/>
    <n v="1127.8265903521249"/>
    <n v="104.34681929575027"/>
    <n v="1023.4797710563746"/>
  </r>
  <r>
    <x v="15"/>
    <x v="1"/>
    <x v="9"/>
    <s v="Manager A"/>
    <s v="Product 3"/>
    <n v="3744"/>
    <n v="176.53644740133609"/>
    <x v="0"/>
    <x v="2"/>
    <s v="met the target"/>
    <n v="3567.4635525986641"/>
    <n v="353.07289480267173"/>
    <n v="3214.3906577959924"/>
  </r>
  <r>
    <x v="15"/>
    <x v="1"/>
    <x v="10"/>
    <s v="Manager A"/>
    <s v="Product 1"/>
    <n v="2645"/>
    <n v="82.849291778108494"/>
    <x v="0"/>
    <x v="0"/>
    <s v="met the target"/>
    <n v="2562.1507082218914"/>
    <n v="165.69858355621727"/>
    <n v="2396.4521246656741"/>
  </r>
  <r>
    <x v="15"/>
    <x v="1"/>
    <x v="11"/>
    <s v="Manager A"/>
    <s v="Product 2"/>
    <n v="1843"/>
    <n v="56.440479071020171"/>
    <x v="0"/>
    <x v="1"/>
    <s v="Did not meet the target"/>
    <n v="1786.5595209289797"/>
    <n v="112.88095814204053"/>
    <n v="1673.6785627869392"/>
  </r>
  <r>
    <x v="16"/>
    <x v="1"/>
    <x v="0"/>
    <s v="Manager A"/>
    <s v="Product 3"/>
    <n v="2896"/>
    <n v="201.4932286006285"/>
    <x v="0"/>
    <x v="2"/>
    <s v="met the target"/>
    <n v="2694.5067713993717"/>
    <n v="402.9864572012566"/>
    <n v="2291.5203141981151"/>
  </r>
  <r>
    <x v="16"/>
    <x v="1"/>
    <x v="1"/>
    <s v="Manager A"/>
    <s v="Product 2"/>
    <n v="3721"/>
    <n v="184.60704778031399"/>
    <x v="0"/>
    <x v="1"/>
    <s v="met the target"/>
    <n v="3536.3929522196859"/>
    <n v="369.21409556062827"/>
    <n v="3167.1788566590576"/>
  </r>
  <r>
    <x v="16"/>
    <x v="1"/>
    <x v="2"/>
    <s v="Manager A"/>
    <s v="Product 1"/>
    <n v="2619"/>
    <n v="145.4866817017176"/>
    <x v="0"/>
    <x v="0"/>
    <s v="met the target"/>
    <n v="2473.5133182982822"/>
    <n v="290.97336340343554"/>
    <n v="2182.5399548948467"/>
  </r>
  <r>
    <x v="17"/>
    <x v="1"/>
    <x v="3"/>
    <s v="Manager A"/>
    <s v="Product 3"/>
    <n v="3322"/>
    <n v="209.77193080616641"/>
    <x v="0"/>
    <x v="2"/>
    <s v="met the target"/>
    <n v="3112.2280691938336"/>
    <n v="419.54386161233288"/>
    <n v="2692.6842075815007"/>
  </r>
  <r>
    <x v="17"/>
    <x v="1"/>
    <x v="4"/>
    <s v="Manager A"/>
    <s v="Product 2"/>
    <n v="3089"/>
    <n v="137.2190094536368"/>
    <x v="0"/>
    <x v="1"/>
    <s v="met the target"/>
    <n v="2951.7809905463632"/>
    <n v="274.43801890727354"/>
    <n v="2677.3429716390897"/>
  </r>
  <r>
    <x v="17"/>
    <x v="1"/>
    <x v="5"/>
    <s v="Manager A"/>
    <s v="Product 1"/>
    <n v="1591"/>
    <n v="74.131491164388024"/>
    <x v="0"/>
    <x v="0"/>
    <s v="Did not meet the target"/>
    <n v="1516.8685088356119"/>
    <n v="148.26298232877616"/>
    <n v="1368.6055265068358"/>
  </r>
  <r>
    <x v="18"/>
    <x v="1"/>
    <x v="6"/>
    <s v="Manager A"/>
    <s v="Product 1"/>
    <n v="4453"/>
    <n v="302.97367908118679"/>
    <x v="0"/>
    <x v="0"/>
    <s v="Exceeded the target"/>
    <n v="4150.0263209188133"/>
    <n v="605.94735816237335"/>
    <n v="3544.07896275644"/>
  </r>
  <r>
    <x v="18"/>
    <x v="1"/>
    <x v="7"/>
    <s v="Manager A"/>
    <s v="Product 3"/>
    <n v="1067"/>
    <n v="61.449309553518383"/>
    <x v="0"/>
    <x v="2"/>
    <s v="Did not meet the target"/>
    <n v="1005.5506904464817"/>
    <n v="122.89861910703667"/>
    <n v="882.652071339445"/>
  </r>
  <r>
    <x v="18"/>
    <x v="1"/>
    <x v="8"/>
    <s v="Manager A"/>
    <s v="Product 2"/>
    <n v="1024"/>
    <n v="40.280893663973217"/>
    <x v="0"/>
    <x v="1"/>
    <s v="Did not meet the target"/>
    <n v="983.71910633602681"/>
    <n v="80.56178732794649"/>
    <n v="903.15731900808032"/>
  </r>
  <r>
    <x v="19"/>
    <x v="1"/>
    <x v="9"/>
    <s v="Manager A"/>
    <s v="Product 3"/>
    <n v="4083"/>
    <n v="276.432753502666"/>
    <x v="0"/>
    <x v="2"/>
    <s v="Exceeded the target"/>
    <n v="3806.5672464973341"/>
    <n v="552.86550700533189"/>
    <n v="3253.7017394920022"/>
  </r>
  <r>
    <x v="19"/>
    <x v="1"/>
    <x v="10"/>
    <s v="Manager A"/>
    <s v="Product 2"/>
    <n v="3080"/>
    <n v="154.29438116267701"/>
    <x v="0"/>
    <x v="1"/>
    <s v="met the target"/>
    <n v="2925.7056188373231"/>
    <n v="308.58876232535385"/>
    <n v="2617.1168565119692"/>
  </r>
  <r>
    <x v="19"/>
    <x v="1"/>
    <x v="11"/>
    <s v="Manager A"/>
    <s v="Product 1"/>
    <n v="3603"/>
    <n v="142.35335196537389"/>
    <x v="0"/>
    <x v="0"/>
    <s v="met the target"/>
    <n v="3460.6466480346262"/>
    <n v="284.70670393074761"/>
    <n v="3175.9399441038786"/>
  </r>
  <r>
    <x v="20"/>
    <x v="1"/>
    <x v="0"/>
    <s v="Manager A"/>
    <s v="Product 1"/>
    <n v="3711"/>
    <n v="130.8185879185701"/>
    <x v="0"/>
    <x v="0"/>
    <s v="met the target"/>
    <n v="3580.1814120814297"/>
    <n v="261.6371758371406"/>
    <n v="3318.5442362442891"/>
  </r>
  <r>
    <x v="20"/>
    <x v="1"/>
    <x v="1"/>
    <s v="Manager A"/>
    <s v="Product 2"/>
    <n v="1821"/>
    <n v="98.633940844881025"/>
    <x v="0"/>
    <x v="1"/>
    <s v="Did not meet the target"/>
    <n v="1722.366059155119"/>
    <n v="197.26788168976191"/>
    <n v="1525.0981774653571"/>
  </r>
  <r>
    <x v="20"/>
    <x v="1"/>
    <x v="2"/>
    <s v="Manager A"/>
    <s v="Product 3"/>
    <n v="1307"/>
    <n v="59.223205332772608"/>
    <x v="0"/>
    <x v="2"/>
    <s v="Did not meet the target"/>
    <n v="1247.7767946672275"/>
    <n v="118.44641066554505"/>
    <n v="1129.3303840016824"/>
  </r>
  <r>
    <x v="21"/>
    <x v="1"/>
    <x v="3"/>
    <s v="Manager A"/>
    <s v="Product 1"/>
    <n v="4886"/>
    <n v="245.44652605481821"/>
    <x v="0"/>
    <x v="0"/>
    <s v="Exceeded the target"/>
    <n v="4640.5534739451814"/>
    <n v="490.89305210963721"/>
    <n v="4149.6604218355442"/>
  </r>
  <r>
    <x v="21"/>
    <x v="1"/>
    <x v="4"/>
    <s v="Manager A"/>
    <s v="Product 3"/>
    <n v="2970"/>
    <n v="133.41654182903281"/>
    <x v="0"/>
    <x v="2"/>
    <s v="met the target"/>
    <n v="2836.5834581709673"/>
    <n v="266.83308365806533"/>
    <n v="2569.750374512902"/>
  </r>
  <r>
    <x v="21"/>
    <x v="1"/>
    <x v="5"/>
    <s v="Manager A"/>
    <s v="Product 2"/>
    <n v="1730"/>
    <n v="73.378353157802948"/>
    <x v="0"/>
    <x v="1"/>
    <s v="Did not meet the target"/>
    <n v="1656.6216468421972"/>
    <n v="146.7567063156057"/>
    <n v="1509.8649405265915"/>
  </r>
  <r>
    <x v="22"/>
    <x v="1"/>
    <x v="6"/>
    <s v="Manager A"/>
    <s v="Product 1"/>
    <n v="4116"/>
    <n v="225.949372319107"/>
    <x v="0"/>
    <x v="0"/>
    <s v="Exceeded the target"/>
    <n v="3890.0506276808928"/>
    <n v="451.89874463821434"/>
    <n v="3438.1518830426785"/>
  </r>
  <r>
    <x v="22"/>
    <x v="1"/>
    <x v="7"/>
    <s v="Manager A"/>
    <s v="Product 2"/>
    <n v="3850"/>
    <n v="224.92137401924131"/>
    <x v="0"/>
    <x v="1"/>
    <s v="met the target"/>
    <n v="3625.0786259807587"/>
    <n v="449.84274803848257"/>
    <n v="3175.2358779422761"/>
  </r>
  <r>
    <x v="22"/>
    <x v="1"/>
    <x v="8"/>
    <s v="Manager A"/>
    <s v="Product 3"/>
    <n v="2954"/>
    <n v="112.8337828511583"/>
    <x v="0"/>
    <x v="2"/>
    <s v="met the target"/>
    <n v="2841.1662171488415"/>
    <n v="225.66756570231701"/>
    <n v="2615.4986514465245"/>
  </r>
  <r>
    <x v="23"/>
    <x v="1"/>
    <x v="9"/>
    <s v="Manager A"/>
    <s v="Product 2"/>
    <n v="4152"/>
    <n v="128.597936207863"/>
    <x v="0"/>
    <x v="1"/>
    <s v="Exceeded the target"/>
    <n v="4023.4020637921371"/>
    <n v="257.19587241572617"/>
    <n v="3766.206191376411"/>
  </r>
  <r>
    <x v="23"/>
    <x v="1"/>
    <x v="10"/>
    <s v="Manager A"/>
    <s v="Product 3"/>
    <n v="2470"/>
    <n v="107.9499652529491"/>
    <x v="0"/>
    <x v="2"/>
    <s v="Did not meet the target"/>
    <n v="2362.0500347470511"/>
    <n v="215.89993050589783"/>
    <n v="2146.1501042411533"/>
  </r>
  <r>
    <x v="23"/>
    <x v="1"/>
    <x v="11"/>
    <s v="Manager A"/>
    <s v="Product 1"/>
    <n v="2278"/>
    <n v="105.32946437775"/>
    <x v="0"/>
    <x v="0"/>
    <s v="Did not meet the target"/>
    <n v="2172.6705356222501"/>
    <n v="210.6589287554998"/>
    <n v="1962.0116068667503"/>
  </r>
  <r>
    <x v="12"/>
    <x v="1"/>
    <x v="0"/>
    <s v="Manager B"/>
    <s v="Product 3"/>
    <n v="3854"/>
    <n v="221.99425711267961"/>
    <x v="1"/>
    <x v="2"/>
    <s v="met the target"/>
    <n v="3632.0057428873206"/>
    <n v="443.98851422535881"/>
    <n v="3188.0172286619618"/>
  </r>
  <r>
    <x v="12"/>
    <x v="1"/>
    <x v="1"/>
    <s v="Manager B"/>
    <s v="Product 2"/>
    <n v="2152"/>
    <n v="142.38014134091449"/>
    <x v="1"/>
    <x v="1"/>
    <s v="Did not meet the target"/>
    <n v="2009.6198586590856"/>
    <n v="284.76028268182904"/>
    <n v="1724.8595759772566"/>
  </r>
  <r>
    <x v="12"/>
    <x v="1"/>
    <x v="2"/>
    <s v="Manager B"/>
    <s v="Product 1"/>
    <n v="2206"/>
    <n v="101.3899943870817"/>
    <x v="1"/>
    <x v="0"/>
    <s v="Did not meet the target"/>
    <n v="2104.6100056129185"/>
    <n v="202.77998877416303"/>
    <n v="1901.8300168387555"/>
  </r>
  <r>
    <x v="13"/>
    <x v="1"/>
    <x v="3"/>
    <s v="Manager B"/>
    <s v="Product 1"/>
    <n v="4587"/>
    <n v="312.25992900927042"/>
    <x v="1"/>
    <x v="0"/>
    <s v="Exceeded the target"/>
    <n v="4274.7400709907297"/>
    <n v="624.51985801854062"/>
    <n v="3650.2202129721891"/>
  </r>
  <r>
    <x v="13"/>
    <x v="1"/>
    <x v="4"/>
    <s v="Manager B"/>
    <s v="Product 3"/>
    <n v="4298"/>
    <n v="270.04628339097007"/>
    <x v="1"/>
    <x v="2"/>
    <s v="Exceeded the target"/>
    <n v="4027.9537166090299"/>
    <n v="540.09256678193969"/>
    <n v="3487.8611498270902"/>
  </r>
  <r>
    <x v="13"/>
    <x v="1"/>
    <x v="5"/>
    <s v="Manager B"/>
    <s v="Product 2"/>
    <n v="1094"/>
    <n v="58.014870851083622"/>
    <x v="1"/>
    <x v="1"/>
    <s v="Did not meet the target"/>
    <n v="1035.9851291489165"/>
    <n v="116.02974170216703"/>
    <n v="919.95538744674946"/>
  </r>
  <r>
    <x v="14"/>
    <x v="1"/>
    <x v="6"/>
    <s v="Manager B"/>
    <s v="Product 3"/>
    <n v="4901"/>
    <n v="183.3429450393015"/>
    <x v="1"/>
    <x v="2"/>
    <s v="Exceeded the target"/>
    <n v="4717.6570549606986"/>
    <n v="366.68589007860282"/>
    <n v="4350.9711648820958"/>
  </r>
  <r>
    <x v="14"/>
    <x v="1"/>
    <x v="7"/>
    <s v="Manager B"/>
    <s v="Product 1"/>
    <n v="3371"/>
    <n v="149.22835710187891"/>
    <x v="1"/>
    <x v="0"/>
    <s v="met the target"/>
    <n v="3221.7716428981212"/>
    <n v="298.45671420375766"/>
    <n v="2923.3149286943635"/>
  </r>
  <r>
    <x v="14"/>
    <x v="1"/>
    <x v="8"/>
    <s v="Manager B"/>
    <s v="Product 2"/>
    <n v="4052"/>
    <n v="124.2065237149754"/>
    <x v="1"/>
    <x v="1"/>
    <s v="Exceeded the target"/>
    <n v="3927.7934762850246"/>
    <n v="248.41304742995089"/>
    <n v="3679.3804288550737"/>
  </r>
  <r>
    <x v="15"/>
    <x v="1"/>
    <x v="9"/>
    <s v="Manager B"/>
    <s v="Product 2"/>
    <n v="4224"/>
    <n v="169.28794937405979"/>
    <x v="1"/>
    <x v="1"/>
    <s v="Exceeded the target"/>
    <n v="4054.7120506259403"/>
    <n v="338.57589874811993"/>
    <n v="3716.1361518778203"/>
  </r>
  <r>
    <x v="15"/>
    <x v="1"/>
    <x v="10"/>
    <s v="Manager B"/>
    <s v="Product 1"/>
    <n v="2552"/>
    <n v="83.509001471339431"/>
    <x v="1"/>
    <x v="0"/>
    <s v="met the target"/>
    <n v="2468.4909985286604"/>
    <n v="167.01800294267923"/>
    <n v="2301.4729955859812"/>
  </r>
  <r>
    <x v="15"/>
    <x v="1"/>
    <x v="11"/>
    <s v="Manager B"/>
    <s v="Product 3"/>
    <n v="1925"/>
    <n v="74.779390481648463"/>
    <x v="1"/>
    <x v="2"/>
    <s v="Did not meet the target"/>
    <n v="1850.2206095183515"/>
    <n v="149.55878096329707"/>
    <n v="1700.6618285550544"/>
  </r>
  <r>
    <x v="16"/>
    <x v="1"/>
    <x v="0"/>
    <s v="Manager B"/>
    <s v="Product 2"/>
    <n v="4300"/>
    <n v="263.71632338997591"/>
    <x v="1"/>
    <x v="1"/>
    <s v="Exceeded the target"/>
    <n v="4036.283676610024"/>
    <n v="527.43264677995148"/>
    <n v="3508.8510298300725"/>
  </r>
  <r>
    <x v="16"/>
    <x v="1"/>
    <x v="1"/>
    <s v="Manager B"/>
    <s v="Product 3"/>
    <n v="2531"/>
    <n v="105.1274638698405"/>
    <x v="1"/>
    <x v="2"/>
    <s v="met the target"/>
    <n v="2425.8725361301595"/>
    <n v="210.25492773968108"/>
    <n v="2215.6176083904784"/>
  </r>
  <r>
    <x v="16"/>
    <x v="1"/>
    <x v="2"/>
    <s v="Manager B"/>
    <s v="Product 1"/>
    <n v="1928"/>
    <n v="62.876260455545292"/>
    <x v="1"/>
    <x v="0"/>
    <s v="Did not meet the target"/>
    <n v="1865.1237395444548"/>
    <n v="125.75252091109041"/>
    <n v="1739.3712186333644"/>
  </r>
  <r>
    <x v="17"/>
    <x v="1"/>
    <x v="3"/>
    <s v="Manager B"/>
    <s v="Product 1"/>
    <n v="4624"/>
    <n v="309.80188003486239"/>
    <x v="1"/>
    <x v="0"/>
    <s v="Exceeded the target"/>
    <n v="4314.1981199651373"/>
    <n v="619.60376006972547"/>
    <n v="3694.5943598954118"/>
  </r>
  <r>
    <x v="17"/>
    <x v="1"/>
    <x v="4"/>
    <s v="Manager B"/>
    <s v="Product 2"/>
    <n v="4510"/>
    <n v="143.59971888406841"/>
    <x v="1"/>
    <x v="1"/>
    <s v="Exceeded the target"/>
    <n v="4366.4002811159316"/>
    <n v="287.1994377681367"/>
    <n v="4079.2008433477949"/>
  </r>
  <r>
    <x v="17"/>
    <x v="1"/>
    <x v="5"/>
    <s v="Manager B"/>
    <s v="Product 3"/>
    <n v="1207"/>
    <n v="47.441231213821077"/>
    <x v="1"/>
    <x v="2"/>
    <s v="Did not meet the target"/>
    <n v="1159.5587687861789"/>
    <n v="94.882462427642167"/>
    <n v="1064.6763063585367"/>
  </r>
  <r>
    <x v="18"/>
    <x v="1"/>
    <x v="6"/>
    <s v="Manager B"/>
    <s v="Product 3"/>
    <n v="4843"/>
    <n v="316.09683953331142"/>
    <x v="1"/>
    <x v="2"/>
    <s v="Exceeded the target"/>
    <n v="4526.9031604666889"/>
    <n v="632.19367906662228"/>
    <n v="3894.7094814000666"/>
  </r>
  <r>
    <x v="18"/>
    <x v="1"/>
    <x v="7"/>
    <s v="Manager B"/>
    <s v="Product 1"/>
    <n v="4026"/>
    <n v="130.177708050234"/>
    <x v="1"/>
    <x v="0"/>
    <s v="Exceeded the target"/>
    <n v="3895.8222919497662"/>
    <n v="260.35541610046812"/>
    <n v="3635.466875849298"/>
  </r>
  <r>
    <x v="18"/>
    <x v="1"/>
    <x v="8"/>
    <s v="Manager B"/>
    <s v="Product 2"/>
    <n v="2007"/>
    <n v="118.8713264779538"/>
    <x v="1"/>
    <x v="1"/>
    <s v="Did not meet the target"/>
    <n v="1888.1286735220463"/>
    <n v="237.74265295590772"/>
    <n v="1650.3860205661385"/>
  </r>
  <r>
    <x v="19"/>
    <x v="1"/>
    <x v="9"/>
    <s v="Manager B"/>
    <s v="Product 2"/>
    <n v="3260"/>
    <n v="210.89453847230541"/>
    <x v="1"/>
    <x v="1"/>
    <s v="met the target"/>
    <n v="3049.1054615276944"/>
    <n v="421.78907694461122"/>
    <n v="2627.3163845830832"/>
  </r>
  <r>
    <x v="19"/>
    <x v="1"/>
    <x v="10"/>
    <s v="Manager B"/>
    <s v="Product 3"/>
    <n v="2162"/>
    <n v="146.16933393540029"/>
    <x v="1"/>
    <x v="2"/>
    <s v="Did not meet the target"/>
    <n v="2015.8306660645997"/>
    <n v="292.33866787080046"/>
    <n v="1723.4919981937992"/>
  </r>
  <r>
    <x v="19"/>
    <x v="1"/>
    <x v="11"/>
    <s v="Manager B"/>
    <s v="Product 1"/>
    <n v="2640"/>
    <n v="146.15015688183621"/>
    <x v="1"/>
    <x v="0"/>
    <s v="met the target"/>
    <n v="2493.8498431181638"/>
    <n v="292.30031376367242"/>
    <n v="2201.5495293544914"/>
  </r>
  <r>
    <x v="20"/>
    <x v="1"/>
    <x v="0"/>
    <s v="Manager B"/>
    <s v="Product 3"/>
    <n v="3997"/>
    <n v="207.34595807890719"/>
    <x v="1"/>
    <x v="2"/>
    <s v="met the target"/>
    <n v="3789.6540419210928"/>
    <n v="414.69191615781483"/>
    <n v="3374.962125763278"/>
  </r>
  <r>
    <x v="20"/>
    <x v="1"/>
    <x v="1"/>
    <s v="Manager B"/>
    <s v="Product 2"/>
    <n v="2172"/>
    <n v="149.24200108585379"/>
    <x v="1"/>
    <x v="1"/>
    <s v="Did not meet the target"/>
    <n v="2022.7579989141461"/>
    <n v="298.48400217170752"/>
    <n v="1724.2739967424386"/>
  </r>
  <r>
    <x v="20"/>
    <x v="1"/>
    <x v="2"/>
    <s v="Manager B"/>
    <s v="Product 1"/>
    <n v="2198"/>
    <n v="144.6623269466194"/>
    <x v="1"/>
    <x v="0"/>
    <s v="Did not meet the target"/>
    <n v="2053.3376730533805"/>
    <n v="289.32465389323897"/>
    <n v="1764.0130191601415"/>
  </r>
  <r>
    <x v="21"/>
    <x v="1"/>
    <x v="3"/>
    <s v="Manager B"/>
    <s v="Product 1"/>
    <n v="3924"/>
    <n v="200.1193606162293"/>
    <x v="1"/>
    <x v="0"/>
    <s v="met the target"/>
    <n v="3723.8806393837708"/>
    <n v="400.23872123245883"/>
    <n v="3323.641918151312"/>
  </r>
  <r>
    <x v="21"/>
    <x v="1"/>
    <x v="4"/>
    <s v="Manager B"/>
    <s v="Product 2"/>
    <n v="2795"/>
    <n v="167.76652356346079"/>
    <x v="1"/>
    <x v="1"/>
    <s v="met the target"/>
    <n v="2627.2334764365391"/>
    <n v="335.5330471269217"/>
    <n v="2291.7004293096174"/>
  </r>
  <r>
    <x v="21"/>
    <x v="1"/>
    <x v="5"/>
    <s v="Manager B"/>
    <s v="Product 3"/>
    <n v="2823"/>
    <n v="122.3496630371508"/>
    <x v="1"/>
    <x v="2"/>
    <s v="met the target"/>
    <n v="2700.650336962849"/>
    <n v="244.69932607430201"/>
    <n v="2455.951010888547"/>
  </r>
  <r>
    <x v="22"/>
    <x v="1"/>
    <x v="6"/>
    <s v="Manager B"/>
    <s v="Product 3"/>
    <n v="3693"/>
    <n v="240.6705591949877"/>
    <x v="1"/>
    <x v="2"/>
    <s v="met the target"/>
    <n v="3452.3294408050124"/>
    <n v="481.34111838997524"/>
    <n v="2970.9883224150371"/>
  </r>
  <r>
    <x v="22"/>
    <x v="1"/>
    <x v="7"/>
    <s v="Manager B"/>
    <s v="Product 2"/>
    <n v="3081"/>
    <n v="175.7701235158745"/>
    <x v="1"/>
    <x v="1"/>
    <s v="met the target"/>
    <n v="2905.2298764841253"/>
    <n v="351.54024703174946"/>
    <n v="2553.6896294523758"/>
  </r>
  <r>
    <x v="22"/>
    <x v="1"/>
    <x v="8"/>
    <s v="Manager B"/>
    <s v="Product 1"/>
    <n v="2112"/>
    <n v="92.226656743772551"/>
    <x v="1"/>
    <x v="0"/>
    <s v="Did not meet the target"/>
    <n v="2019.7733432562275"/>
    <n v="184.4533134875453"/>
    <n v="1835.3200297686822"/>
  </r>
  <r>
    <x v="23"/>
    <x v="1"/>
    <x v="9"/>
    <s v="Manager B"/>
    <s v="Product 2"/>
    <n v="3237"/>
    <n v="133.24371793663889"/>
    <x v="1"/>
    <x v="1"/>
    <s v="met the target"/>
    <n v="3103.7562820633611"/>
    <n v="266.48743587327772"/>
    <n v="2837.2688461900834"/>
  </r>
  <r>
    <x v="23"/>
    <x v="1"/>
    <x v="10"/>
    <s v="Manager B"/>
    <s v="Product 3"/>
    <n v="3177"/>
    <n v="121.96502360223811"/>
    <x v="1"/>
    <x v="2"/>
    <s v="met the target"/>
    <n v="3055.034976397762"/>
    <n v="243.93004720447607"/>
    <n v="2811.1049291932859"/>
  </r>
  <r>
    <x v="23"/>
    <x v="1"/>
    <x v="11"/>
    <s v="Manager B"/>
    <s v="Product 1"/>
    <n v="1136"/>
    <n v="62.354179313680277"/>
    <x v="1"/>
    <x v="0"/>
    <s v="Did not meet the target"/>
    <n v="1073.6458206863197"/>
    <n v="124.70835862736067"/>
    <n v="948.937462058959"/>
  </r>
  <r>
    <x v="12"/>
    <x v="1"/>
    <x v="0"/>
    <s v="Manager C"/>
    <s v="Product 3"/>
    <n v="2578"/>
    <n v="155.37901363902799"/>
    <x v="2"/>
    <x v="2"/>
    <s v="met the target"/>
    <n v="2422.620986360972"/>
    <n v="310.75802727805603"/>
    <n v="2111.8629590829159"/>
  </r>
  <r>
    <x v="12"/>
    <x v="1"/>
    <x v="1"/>
    <s v="Manager C"/>
    <s v="Product 2"/>
    <n v="2198"/>
    <n v="94.753177704901887"/>
    <x v="2"/>
    <x v="1"/>
    <s v="Did not meet the target"/>
    <n v="2103.2468222950979"/>
    <n v="189.5063554098042"/>
    <n v="1913.7404668852937"/>
  </r>
  <r>
    <x v="12"/>
    <x v="1"/>
    <x v="2"/>
    <s v="Manager C"/>
    <s v="Product 1"/>
    <n v="1275"/>
    <n v="73.930724766776351"/>
    <x v="2"/>
    <x v="0"/>
    <s v="Did not meet the target"/>
    <n v="1201.0692752332236"/>
    <n v="147.86144953355279"/>
    <n v="1053.2078256996708"/>
  </r>
  <r>
    <x v="13"/>
    <x v="1"/>
    <x v="3"/>
    <s v="Manager C"/>
    <s v="Product 2"/>
    <n v="4341"/>
    <n v="271.83755589097427"/>
    <x v="2"/>
    <x v="1"/>
    <s v="Exceeded the target"/>
    <n v="4069.1624441090257"/>
    <n v="543.67511178194809"/>
    <n v="3525.4873323270776"/>
  </r>
  <r>
    <x v="13"/>
    <x v="1"/>
    <x v="4"/>
    <s v="Manager C"/>
    <s v="Product 1"/>
    <n v="2899"/>
    <n v="192.35951758714111"/>
    <x v="2"/>
    <x v="0"/>
    <s v="met the target"/>
    <n v="2706.640482412859"/>
    <n v="384.719035174282"/>
    <n v="2321.921447238577"/>
  </r>
  <r>
    <x v="13"/>
    <x v="1"/>
    <x v="5"/>
    <s v="Manager C"/>
    <s v="Product 3"/>
    <n v="2904"/>
    <n v="105.6375840742307"/>
    <x v="2"/>
    <x v="2"/>
    <s v="met the target"/>
    <n v="2798.3624159257693"/>
    <n v="211.27516814846149"/>
    <n v="2587.0872477773078"/>
  </r>
  <r>
    <x v="14"/>
    <x v="1"/>
    <x v="6"/>
    <s v="Manager C"/>
    <s v="Product 2"/>
    <n v="4936"/>
    <n v="331.55929743224777"/>
    <x v="2"/>
    <x v="1"/>
    <s v="Exceeded the target"/>
    <n v="4604.4407025677519"/>
    <n v="663.11859486449612"/>
    <n v="3941.3221077032558"/>
  </r>
  <r>
    <x v="14"/>
    <x v="1"/>
    <x v="7"/>
    <s v="Manager C"/>
    <s v="Product 1"/>
    <n v="4854"/>
    <n v="223.5285446760287"/>
    <x v="2"/>
    <x v="0"/>
    <s v="Exceeded the target"/>
    <n v="4630.471455323971"/>
    <n v="447.05708935205803"/>
    <n v="4183.414365971913"/>
  </r>
  <r>
    <x v="14"/>
    <x v="1"/>
    <x v="8"/>
    <s v="Manager C"/>
    <s v="Product 3"/>
    <n v="4332"/>
    <n v="147.22127510874191"/>
    <x v="2"/>
    <x v="2"/>
    <s v="Exceeded the target"/>
    <n v="4184.7787248912582"/>
    <n v="294.44255021748359"/>
    <n v="3890.3361746737746"/>
  </r>
  <r>
    <x v="15"/>
    <x v="1"/>
    <x v="9"/>
    <s v="Manager C"/>
    <s v="Product 1"/>
    <n v="3197"/>
    <n v="128.28808985327831"/>
    <x v="2"/>
    <x v="0"/>
    <s v="met the target"/>
    <n v="3068.7119101467215"/>
    <n v="256.57617970655701"/>
    <n v="2812.1357304401645"/>
  </r>
  <r>
    <x v="15"/>
    <x v="1"/>
    <x v="10"/>
    <s v="Manager C"/>
    <s v="Product 2"/>
    <n v="2134"/>
    <n v="75.2068745365344"/>
    <x v="2"/>
    <x v="1"/>
    <s v="Did not meet the target"/>
    <n v="2058.7931254634655"/>
    <n v="150.41374907306908"/>
    <n v="1908.3793763903964"/>
  </r>
  <r>
    <x v="15"/>
    <x v="1"/>
    <x v="11"/>
    <s v="Manager C"/>
    <s v="Product 3"/>
    <n v="1025"/>
    <n v="31.24348513880383"/>
    <x v="2"/>
    <x v="2"/>
    <s v="Did not meet the target"/>
    <n v="993.75651486119614"/>
    <n v="62.486970277607725"/>
    <n v="931.26954458358841"/>
  </r>
  <r>
    <x v="16"/>
    <x v="1"/>
    <x v="0"/>
    <s v="Manager C"/>
    <s v="Product 2"/>
    <n v="3169"/>
    <n v="179.049079487482"/>
    <x v="2"/>
    <x v="1"/>
    <s v="met the target"/>
    <n v="2989.9509205125178"/>
    <n v="358.09815897496446"/>
    <n v="2631.8527615375533"/>
  </r>
  <r>
    <x v="16"/>
    <x v="1"/>
    <x v="1"/>
    <s v="Manager C"/>
    <s v="Product 1"/>
    <n v="3811"/>
    <n v="151.13185444447291"/>
    <x v="2"/>
    <x v="0"/>
    <s v="met the target"/>
    <n v="3659.868145555527"/>
    <n v="302.26370888894598"/>
    <n v="3357.604436666581"/>
  </r>
  <r>
    <x v="16"/>
    <x v="1"/>
    <x v="2"/>
    <s v="Manager C"/>
    <s v="Product 3"/>
    <n v="2350"/>
    <n v="93.629939389150664"/>
    <x v="2"/>
    <x v="2"/>
    <s v="Did not meet the target"/>
    <n v="2256.3700606108491"/>
    <n v="187.25987877830175"/>
    <n v="2069.1101818325474"/>
  </r>
  <r>
    <x v="17"/>
    <x v="1"/>
    <x v="3"/>
    <s v="Manager C"/>
    <s v="Product 3"/>
    <n v="3159"/>
    <n v="219.29669679700709"/>
    <x v="2"/>
    <x v="2"/>
    <s v="met the target"/>
    <n v="2939.7033032029931"/>
    <n v="438.59339359401383"/>
    <n v="2501.1099096089793"/>
  </r>
  <r>
    <x v="17"/>
    <x v="1"/>
    <x v="4"/>
    <s v="Manager C"/>
    <s v="Product 1"/>
    <n v="3827"/>
    <n v="168.16134508192161"/>
    <x v="2"/>
    <x v="0"/>
    <s v="met the target"/>
    <n v="3658.8386549180782"/>
    <n v="336.32269016384362"/>
    <n v="3322.5159647542346"/>
  </r>
  <r>
    <x v="17"/>
    <x v="1"/>
    <x v="5"/>
    <s v="Manager C"/>
    <s v="Product 2"/>
    <n v="1166"/>
    <n v="72.990036597828336"/>
    <x v="2"/>
    <x v="1"/>
    <s v="Did not meet the target"/>
    <n v="1093.0099634021717"/>
    <n v="145.98007319565659"/>
    <n v="947.02989020651512"/>
  </r>
  <r>
    <x v="18"/>
    <x v="1"/>
    <x v="6"/>
    <s v="Manager C"/>
    <s v="Product 3"/>
    <n v="3022"/>
    <n v="135.90492263983231"/>
    <x v="2"/>
    <x v="2"/>
    <s v="met the target"/>
    <n v="2886.0950773601676"/>
    <n v="271.80984527966484"/>
    <n v="2614.2852320805027"/>
  </r>
  <r>
    <x v="18"/>
    <x v="1"/>
    <x v="7"/>
    <s v="Manager C"/>
    <s v="Product 1"/>
    <n v="3282"/>
    <n v="134.2255156367716"/>
    <x v="2"/>
    <x v="0"/>
    <s v="met the target"/>
    <n v="3147.7744843632286"/>
    <n v="268.45103127354287"/>
    <n v="2879.3234530896857"/>
  </r>
  <r>
    <x v="18"/>
    <x v="1"/>
    <x v="8"/>
    <s v="Manager C"/>
    <s v="Product 2"/>
    <n v="2740"/>
    <n v="123.74463581008619"/>
    <x v="2"/>
    <x v="1"/>
    <s v="met the target"/>
    <n v="2616.255364189914"/>
    <n v="247.48927162017208"/>
    <n v="2368.7660925697419"/>
  </r>
  <r>
    <x v="19"/>
    <x v="1"/>
    <x v="9"/>
    <s v="Manager C"/>
    <s v="Product 3"/>
    <n v="4709"/>
    <n v="323.59599412557219"/>
    <x v="2"/>
    <x v="2"/>
    <s v="Exceeded the target"/>
    <n v="4385.4040058744276"/>
    <n v="647.19198825114472"/>
    <n v="3738.2120176232829"/>
  </r>
  <r>
    <x v="19"/>
    <x v="1"/>
    <x v="10"/>
    <s v="Manager C"/>
    <s v="Product 1"/>
    <n v="2718"/>
    <n v="163.16315578428421"/>
    <x v="2"/>
    <x v="0"/>
    <s v="met the target"/>
    <n v="2554.8368442157157"/>
    <n v="326.3263115685686"/>
    <n v="2228.5105326471471"/>
  </r>
  <r>
    <x v="19"/>
    <x v="1"/>
    <x v="11"/>
    <s v="Manager C"/>
    <s v="Product 2"/>
    <n v="2445"/>
    <n v="141.7684408899807"/>
    <x v="2"/>
    <x v="1"/>
    <s v="Did not meet the target"/>
    <n v="2303.2315591100191"/>
    <n v="283.53688177996173"/>
    <n v="2019.6946773300574"/>
  </r>
  <r>
    <x v="20"/>
    <x v="1"/>
    <x v="0"/>
    <s v="Manager C"/>
    <s v="Product 2"/>
    <n v="4651"/>
    <n v="249.7085471064521"/>
    <x v="2"/>
    <x v="1"/>
    <s v="Exceeded the target"/>
    <n v="4401.291452893548"/>
    <n v="499.41709421290398"/>
    <n v="3901.874358680644"/>
  </r>
  <r>
    <x v="20"/>
    <x v="1"/>
    <x v="1"/>
    <s v="Manager C"/>
    <s v="Product 3"/>
    <n v="3595"/>
    <n v="236.8042545526701"/>
    <x v="2"/>
    <x v="2"/>
    <s v="met the target"/>
    <n v="3358.19574544733"/>
    <n v="473.60850910534009"/>
    <n v="2884.5872363419899"/>
  </r>
  <r>
    <x v="20"/>
    <x v="1"/>
    <x v="2"/>
    <s v="Manager C"/>
    <s v="Product 1"/>
    <n v="2565"/>
    <n v="105.1468982684154"/>
    <x v="2"/>
    <x v="0"/>
    <s v="met the target"/>
    <n v="2459.8531017315845"/>
    <n v="210.293796536831"/>
    <n v="2249.5593051947535"/>
  </r>
  <r>
    <x v="21"/>
    <x v="1"/>
    <x v="3"/>
    <s v="Manager C"/>
    <s v="Product 2"/>
    <n v="4466"/>
    <n v="288.02458520676561"/>
    <x v="2"/>
    <x v="1"/>
    <s v="Exceeded the target"/>
    <n v="4177.9754147932344"/>
    <n v="576.0491704135311"/>
    <n v="3601.9262443797033"/>
  </r>
  <r>
    <x v="21"/>
    <x v="1"/>
    <x v="4"/>
    <s v="Manager C"/>
    <s v="Product 1"/>
    <n v="3825"/>
    <n v="256.14629129297691"/>
    <x v="2"/>
    <x v="0"/>
    <s v="met the target"/>
    <n v="3568.8537087070231"/>
    <n v="512.29258258595382"/>
    <n v="3056.5611261210693"/>
  </r>
  <r>
    <x v="21"/>
    <x v="1"/>
    <x v="5"/>
    <s v="Manager C"/>
    <s v="Product 3"/>
    <n v="4611"/>
    <n v="147.31043818972651"/>
    <x v="2"/>
    <x v="2"/>
    <s v="Exceeded the target"/>
    <n v="4463.6895618102735"/>
    <n v="294.62087637945297"/>
    <n v="4169.0686854308206"/>
  </r>
  <r>
    <x v="22"/>
    <x v="1"/>
    <x v="6"/>
    <s v="Manager C"/>
    <s v="Product 1"/>
    <n v="3280"/>
    <n v="169.73056066224609"/>
    <x v="2"/>
    <x v="0"/>
    <s v="met the target"/>
    <n v="3110.2694393377537"/>
    <n v="339.46112132449252"/>
    <n v="2770.8083180132612"/>
  </r>
  <r>
    <x v="22"/>
    <x v="1"/>
    <x v="7"/>
    <s v="Manager C"/>
    <s v="Product 3"/>
    <n v="3084"/>
    <n v="96.249821427618016"/>
    <x v="2"/>
    <x v="2"/>
    <s v="met the target"/>
    <n v="2987.7501785723821"/>
    <n v="192.49964285523583"/>
    <n v="2795.2505357171462"/>
  </r>
  <r>
    <x v="22"/>
    <x v="1"/>
    <x v="8"/>
    <s v="Manager C"/>
    <s v="Product 2"/>
    <n v="1767"/>
    <n v="72.991211328830531"/>
    <x v="2"/>
    <x v="1"/>
    <s v="Did not meet the target"/>
    <n v="1694.0087886711694"/>
    <n v="145.98242265766112"/>
    <n v="1548.0263660135083"/>
  </r>
  <r>
    <x v="23"/>
    <x v="1"/>
    <x v="9"/>
    <s v="Manager C"/>
    <s v="Product 3"/>
    <n v="3339"/>
    <n v="193.0302619886298"/>
    <x v="2"/>
    <x v="2"/>
    <s v="met the target"/>
    <n v="3145.9697380113703"/>
    <n v="386.06052397725944"/>
    <n v="2759.9092140341108"/>
  </r>
  <r>
    <x v="23"/>
    <x v="1"/>
    <x v="10"/>
    <s v="Manager C"/>
    <s v="Product 2"/>
    <n v="2392"/>
    <n v="126.98077854786629"/>
    <x v="2"/>
    <x v="1"/>
    <s v="Did not meet the target"/>
    <n v="2265.0192214521339"/>
    <n v="253.96155709573213"/>
    <n v="2011.0576643564018"/>
  </r>
  <r>
    <x v="23"/>
    <x v="1"/>
    <x v="11"/>
    <s v="Manager C"/>
    <s v="Product 1"/>
    <n v="3257"/>
    <n v="112.7838172378538"/>
    <x v="2"/>
    <x v="0"/>
    <s v="met the target"/>
    <n v="3144.2161827621462"/>
    <n v="225.56763447570756"/>
    <n v="2918.6485482864387"/>
  </r>
  <r>
    <x v="12"/>
    <x v="1"/>
    <x v="0"/>
    <s v="Manager D"/>
    <s v="Product 1"/>
    <n v="2395"/>
    <n v="132.7846491118361"/>
    <x v="3"/>
    <x v="0"/>
    <s v="Did not meet the target"/>
    <n v="2262.2153508881638"/>
    <n v="265.56929822367238"/>
    <n v="1996.6460526644914"/>
  </r>
  <r>
    <x v="12"/>
    <x v="1"/>
    <x v="1"/>
    <s v="Manager D"/>
    <s v="Product 3"/>
    <n v="3492"/>
    <n v="127.1840627247406"/>
    <x v="3"/>
    <x v="2"/>
    <s v="met the target"/>
    <n v="3364.8159372752593"/>
    <n v="254.36812544948134"/>
    <n v="3110.447811825778"/>
  </r>
  <r>
    <x v="12"/>
    <x v="1"/>
    <x v="2"/>
    <s v="Manager D"/>
    <s v="Product 2"/>
    <n v="2208"/>
    <n v="87.438590544895959"/>
    <x v="3"/>
    <x v="1"/>
    <s v="Did not meet the target"/>
    <n v="2120.5614094551042"/>
    <n v="174.87718108979152"/>
    <n v="1945.6842283653127"/>
  </r>
  <r>
    <x v="13"/>
    <x v="1"/>
    <x v="3"/>
    <s v="Manager D"/>
    <s v="Product 1"/>
    <n v="3344"/>
    <n v="184.44145520889299"/>
    <x v="3"/>
    <x v="0"/>
    <s v="met the target"/>
    <n v="3159.5585447911071"/>
    <n v="368.88291041778575"/>
    <n v="2790.6756343733214"/>
  </r>
  <r>
    <x v="13"/>
    <x v="1"/>
    <x v="4"/>
    <s v="Manager D"/>
    <s v="Product 3"/>
    <n v="4091"/>
    <n v="132.99234746910031"/>
    <x v="3"/>
    <x v="2"/>
    <s v="Exceeded the target"/>
    <n v="3958.0076525308996"/>
    <n v="265.98469493820085"/>
    <n v="3692.0229575926987"/>
  </r>
  <r>
    <x v="13"/>
    <x v="1"/>
    <x v="5"/>
    <s v="Manager D"/>
    <s v="Product 2"/>
    <n v="2352"/>
    <n v="108.0446950509392"/>
    <x v="3"/>
    <x v="1"/>
    <s v="Did not meet the target"/>
    <n v="2243.955304949061"/>
    <n v="216.08939010187805"/>
    <n v="2027.8659148471829"/>
  </r>
  <r>
    <x v="14"/>
    <x v="1"/>
    <x v="6"/>
    <s v="Manager D"/>
    <s v="Product 2"/>
    <n v="3187"/>
    <n v="206.45239787408471"/>
    <x v="3"/>
    <x v="1"/>
    <s v="met the target"/>
    <n v="2980.5476021259151"/>
    <n v="412.90479574816982"/>
    <n v="2567.6428063777453"/>
  </r>
  <r>
    <x v="14"/>
    <x v="1"/>
    <x v="7"/>
    <s v="Manager D"/>
    <s v="Product 1"/>
    <n v="1749"/>
    <n v="118.6032952821964"/>
    <x v="3"/>
    <x v="0"/>
    <s v="Did not meet the target"/>
    <n v="1630.3967047178037"/>
    <n v="237.20659056439263"/>
    <n v="1393.1901141534111"/>
  </r>
  <r>
    <x v="14"/>
    <x v="1"/>
    <x v="8"/>
    <s v="Manager D"/>
    <s v="Product 3"/>
    <n v="2020"/>
    <n v="97.296321670130197"/>
    <x v="3"/>
    <x v="2"/>
    <s v="Did not meet the target"/>
    <n v="1922.7036783298697"/>
    <n v="194.59264334026034"/>
    <n v="1728.1110349896094"/>
  </r>
  <r>
    <x v="15"/>
    <x v="1"/>
    <x v="9"/>
    <s v="Manager D"/>
    <s v="Product 3"/>
    <n v="2913"/>
    <n v="200.9103339175592"/>
    <x v="3"/>
    <x v="2"/>
    <s v="met the target"/>
    <n v="2712.089666082441"/>
    <n v="401.820667835118"/>
    <n v="2310.268998247323"/>
  </r>
  <r>
    <x v="15"/>
    <x v="1"/>
    <x v="10"/>
    <s v="Manager D"/>
    <s v="Product 2"/>
    <n v="1956"/>
    <n v="107.0698955042774"/>
    <x v="3"/>
    <x v="1"/>
    <s v="Did not meet the target"/>
    <n v="1848.9301044957226"/>
    <n v="214.13979100855499"/>
    <n v="1634.7903134871676"/>
  </r>
  <r>
    <x v="15"/>
    <x v="1"/>
    <x v="11"/>
    <s v="Manager D"/>
    <s v="Product 1"/>
    <n v="2488"/>
    <n v="86.132997251248199"/>
    <x v="3"/>
    <x v="0"/>
    <s v="Did not meet the target"/>
    <n v="2401.8670027487519"/>
    <n v="172.26599450249614"/>
    <n v="2229.6010082462558"/>
  </r>
  <r>
    <x v="16"/>
    <x v="1"/>
    <x v="0"/>
    <s v="Manager D"/>
    <s v="Product 2"/>
    <n v="3335"/>
    <n v="169.05895619478531"/>
    <x v="3"/>
    <x v="1"/>
    <s v="met the target"/>
    <n v="3165.9410438052146"/>
    <n v="338.11791238957085"/>
    <n v="2827.8231314156437"/>
  </r>
  <r>
    <x v="16"/>
    <x v="1"/>
    <x v="1"/>
    <s v="Manager D"/>
    <s v="Product 1"/>
    <n v="1469"/>
    <n v="83.195881747777875"/>
    <x v="3"/>
    <x v="0"/>
    <s v="Did not meet the target"/>
    <n v="1385.8041182522222"/>
    <n v="166.39176349555555"/>
    <n v="1219.4123547566667"/>
  </r>
  <r>
    <x v="16"/>
    <x v="1"/>
    <x v="2"/>
    <s v="Manager D"/>
    <s v="Product 3"/>
    <n v="1525"/>
    <n v="71.619428294586811"/>
    <x v="3"/>
    <x v="2"/>
    <s v="Did not meet the target"/>
    <n v="1453.3805717054131"/>
    <n v="143.23885658917379"/>
    <n v="1310.1417151162393"/>
  </r>
  <r>
    <x v="17"/>
    <x v="1"/>
    <x v="3"/>
    <s v="Manager D"/>
    <s v="Product 1"/>
    <n v="4421"/>
    <n v="303.982956253905"/>
    <x v="3"/>
    <x v="0"/>
    <s v="Exceeded the target"/>
    <n v="4117.0170437460947"/>
    <n v="607.96591250781057"/>
    <n v="3509.0511312382841"/>
  </r>
  <r>
    <x v="17"/>
    <x v="1"/>
    <x v="4"/>
    <s v="Manager D"/>
    <s v="Product 3"/>
    <n v="3783"/>
    <n v="158.36489402948899"/>
    <x v="3"/>
    <x v="2"/>
    <s v="met the target"/>
    <n v="3624.6351059705112"/>
    <n v="316.72978805897765"/>
    <n v="3307.9053179115335"/>
  </r>
  <r>
    <x v="17"/>
    <x v="1"/>
    <x v="5"/>
    <s v="Manager D"/>
    <s v="Product 2"/>
    <n v="2153"/>
    <n v="142.52415151875971"/>
    <x v="3"/>
    <x v="1"/>
    <s v="Did not meet the target"/>
    <n v="2010.4758484812403"/>
    <n v="285.04830303751964"/>
    <n v="1725.4275454437206"/>
  </r>
  <r>
    <x v="18"/>
    <x v="1"/>
    <x v="6"/>
    <s v="Manager D"/>
    <s v="Product 2"/>
    <n v="2750"/>
    <n v="108.6587966792943"/>
    <x v="3"/>
    <x v="1"/>
    <s v="met the target"/>
    <n v="2641.3412033207055"/>
    <n v="217.31759335858897"/>
    <n v="2424.0236099621166"/>
  </r>
  <r>
    <x v="18"/>
    <x v="1"/>
    <x v="7"/>
    <s v="Manager D"/>
    <s v="Product 1"/>
    <n v="1291"/>
    <n v="77.39742561937247"/>
    <x v="3"/>
    <x v="0"/>
    <s v="Did not meet the target"/>
    <n v="1213.6025743806276"/>
    <n v="154.79485123874474"/>
    <n v="1058.8077231418829"/>
  </r>
  <r>
    <x v="18"/>
    <x v="1"/>
    <x v="8"/>
    <s v="Manager D"/>
    <s v="Product 3"/>
    <n v="2022"/>
    <n v="74.559478650973375"/>
    <x v="3"/>
    <x v="2"/>
    <s v="Did not meet the target"/>
    <n v="1947.4405213490265"/>
    <n v="149.11895730194669"/>
    <n v="1798.3215640470798"/>
  </r>
  <r>
    <x v="19"/>
    <x v="1"/>
    <x v="9"/>
    <s v="Manager D"/>
    <s v="Product 1"/>
    <n v="4740"/>
    <n v="330.73838971719999"/>
    <x v="3"/>
    <x v="0"/>
    <s v="Exceeded the target"/>
    <n v="4409.2616102827997"/>
    <n v="661.47677943440067"/>
    <n v="3747.784830848399"/>
  </r>
  <r>
    <x v="19"/>
    <x v="1"/>
    <x v="10"/>
    <s v="Manager D"/>
    <s v="Product 3"/>
    <n v="4560"/>
    <n v="149.7266475407996"/>
    <x v="3"/>
    <x v="2"/>
    <s v="Exceeded the target"/>
    <n v="4410.2733524592004"/>
    <n v="299.45329508159921"/>
    <n v="4110.8200573776012"/>
  </r>
  <r>
    <x v="19"/>
    <x v="1"/>
    <x v="11"/>
    <s v="Manager D"/>
    <s v="Product 2"/>
    <n v="1623"/>
    <n v="78.022263638920791"/>
    <x v="3"/>
    <x v="1"/>
    <s v="Did not meet the target"/>
    <n v="1544.9777363610792"/>
    <n v="156.04452727784155"/>
    <n v="1388.9332090832377"/>
  </r>
  <r>
    <x v="20"/>
    <x v="1"/>
    <x v="0"/>
    <s v="Manager D"/>
    <s v="Product 2"/>
    <n v="4465"/>
    <n v="232.55118021718599"/>
    <x v="3"/>
    <x v="1"/>
    <s v="Exceeded the target"/>
    <n v="4232.4488197828141"/>
    <n v="465.1023604343718"/>
    <n v="3767.3464593484423"/>
  </r>
  <r>
    <x v="20"/>
    <x v="1"/>
    <x v="1"/>
    <s v="Manager D"/>
    <s v="Product 3"/>
    <n v="3121"/>
    <n v="127.5431315079512"/>
    <x v="3"/>
    <x v="2"/>
    <s v="met the target"/>
    <n v="2993.4568684920487"/>
    <n v="255.08626301590266"/>
    <n v="2738.370605476146"/>
  </r>
  <r>
    <x v="20"/>
    <x v="1"/>
    <x v="2"/>
    <s v="Manager D"/>
    <s v="Product 1"/>
    <n v="1807"/>
    <n v="83.608686237007888"/>
    <x v="3"/>
    <x v="0"/>
    <s v="Did not meet the target"/>
    <n v="1723.391313762992"/>
    <n v="167.21737247401597"/>
    <n v="1556.173941288976"/>
  </r>
  <r>
    <x v="21"/>
    <x v="1"/>
    <x v="3"/>
    <s v="Manager D"/>
    <s v="Product 3"/>
    <n v="2447"/>
    <n v="83.650977750113356"/>
    <x v="3"/>
    <x v="2"/>
    <s v="Did not meet the target"/>
    <n v="2363.3490222498867"/>
    <n v="167.30195550022654"/>
    <n v="2196.0470667496602"/>
  </r>
  <r>
    <x v="21"/>
    <x v="1"/>
    <x v="4"/>
    <s v="Manager D"/>
    <s v="Product 1"/>
    <n v="1429"/>
    <n v="57.36820668651999"/>
    <x v="3"/>
    <x v="0"/>
    <s v="Did not meet the target"/>
    <n v="1371.6317933134801"/>
    <n v="114.7364133730398"/>
    <n v="1256.8953799404403"/>
  </r>
  <r>
    <x v="21"/>
    <x v="1"/>
    <x v="5"/>
    <s v="Manager D"/>
    <s v="Product 2"/>
    <n v="1199"/>
    <n v="57.366659187135333"/>
    <x v="3"/>
    <x v="1"/>
    <s v="Did not meet the target"/>
    <n v="1141.6333408128646"/>
    <n v="114.73331837427077"/>
    <n v="1026.9000224385939"/>
  </r>
  <r>
    <x v="22"/>
    <x v="1"/>
    <x v="6"/>
    <s v="Manager D"/>
    <s v="Product 1"/>
    <n v="2792"/>
    <n v="163.09041705984009"/>
    <x v="3"/>
    <x v="0"/>
    <s v="met the target"/>
    <n v="2628.9095829401599"/>
    <n v="326.18083411968018"/>
    <n v="2302.7287488204797"/>
  </r>
  <r>
    <x v="22"/>
    <x v="1"/>
    <x v="7"/>
    <s v="Manager D"/>
    <s v="Product 3"/>
    <n v="3338"/>
    <n v="149.90010940249931"/>
    <x v="3"/>
    <x v="2"/>
    <s v="met the target"/>
    <n v="3188.0998905975007"/>
    <n v="299.80021880499862"/>
    <n v="2888.2996717925021"/>
  </r>
  <r>
    <x v="22"/>
    <x v="1"/>
    <x v="8"/>
    <s v="Manager D"/>
    <s v="Product 2"/>
    <n v="2483"/>
    <n v="75.273049160458299"/>
    <x v="3"/>
    <x v="1"/>
    <s v="Did not meet the target"/>
    <n v="2407.7269508395416"/>
    <n v="150.54609832091683"/>
    <n v="2257.1808525186248"/>
  </r>
  <r>
    <x v="23"/>
    <x v="1"/>
    <x v="9"/>
    <s v="Manager D"/>
    <s v="Product 2"/>
    <n v="4419"/>
    <n v="300.29067402255691"/>
    <x v="3"/>
    <x v="1"/>
    <s v="Exceeded the target"/>
    <n v="4118.7093259774429"/>
    <n v="600.58134804511428"/>
    <n v="3518.1279779323286"/>
  </r>
  <r>
    <x v="23"/>
    <x v="1"/>
    <x v="10"/>
    <s v="Manager D"/>
    <s v="Product 1"/>
    <n v="2400"/>
    <n v="136.50788549719891"/>
    <x v="3"/>
    <x v="0"/>
    <s v="Did not meet the target"/>
    <n v="2263.4921145028011"/>
    <n v="273.01577099439783"/>
    <n v="1990.4763435084033"/>
  </r>
  <r>
    <x v="23"/>
    <x v="1"/>
    <x v="11"/>
    <s v="Manager D"/>
    <s v="Product 3"/>
    <n v="1168"/>
    <n v="35.166294153104452"/>
    <x v="3"/>
    <x v="2"/>
    <s v="Did not meet the target"/>
    <n v="1132.8337058468956"/>
    <n v="70.332588306208891"/>
    <n v="1062.5011175406867"/>
  </r>
  <r>
    <x v="12"/>
    <x v="1"/>
    <x v="0"/>
    <s v="Manager E"/>
    <s v="Product 2"/>
    <n v="4661"/>
    <n v="318.65702146988679"/>
    <x v="4"/>
    <x v="1"/>
    <s v="Exceeded the target"/>
    <n v="4342.3429785301132"/>
    <n v="637.31404293977357"/>
    <n v="3705.0289355903396"/>
  </r>
  <r>
    <x v="12"/>
    <x v="1"/>
    <x v="1"/>
    <s v="Manager E"/>
    <s v="Product 1"/>
    <n v="3536"/>
    <n v="218.72161015573141"/>
    <x v="4"/>
    <x v="0"/>
    <s v="met the target"/>
    <n v="3317.2783898442685"/>
    <n v="437.44322031146294"/>
    <n v="2879.8351695328056"/>
  </r>
  <r>
    <x v="12"/>
    <x v="1"/>
    <x v="2"/>
    <s v="Manager E"/>
    <s v="Product 3"/>
    <n v="3334"/>
    <n v="161.11739400339931"/>
    <x v="4"/>
    <x v="2"/>
    <s v="met the target"/>
    <n v="3172.8826059966009"/>
    <n v="322.23478800679823"/>
    <n v="2850.6478179898027"/>
  </r>
  <r>
    <x v="13"/>
    <x v="1"/>
    <x v="3"/>
    <s v="Manager E"/>
    <s v="Product 2"/>
    <n v="4912"/>
    <n v="198.1862454624308"/>
    <x v="4"/>
    <x v="1"/>
    <s v="Exceeded the target"/>
    <n v="4713.8137545375694"/>
    <n v="396.37249092486127"/>
    <n v="4317.4412636127081"/>
  </r>
  <r>
    <x v="13"/>
    <x v="1"/>
    <x v="4"/>
    <s v="Manager E"/>
    <s v="Product 3"/>
    <n v="2434"/>
    <n v="155.68236970859979"/>
    <x v="4"/>
    <x v="2"/>
    <s v="Did not meet the target"/>
    <n v="2278.3176302914003"/>
    <n v="311.36473941719942"/>
    <n v="1966.9528908742009"/>
  </r>
  <r>
    <x v="13"/>
    <x v="1"/>
    <x v="5"/>
    <s v="Manager E"/>
    <s v="Product 1"/>
    <n v="1607"/>
    <n v="75.466793151479038"/>
    <x v="4"/>
    <x v="0"/>
    <s v="Did not meet the target"/>
    <n v="1531.5332068485209"/>
    <n v="150.93358630295825"/>
    <n v="1380.5996205455626"/>
  </r>
  <r>
    <x v="14"/>
    <x v="1"/>
    <x v="6"/>
    <s v="Manager E"/>
    <s v="Product 3"/>
    <n v="3937"/>
    <n v="214.87590197597811"/>
    <x v="4"/>
    <x v="2"/>
    <s v="met the target"/>
    <n v="3722.1240980240218"/>
    <n v="429.75180395195639"/>
    <n v="3292.3722940720654"/>
  </r>
  <r>
    <x v="14"/>
    <x v="1"/>
    <x v="7"/>
    <s v="Manager E"/>
    <s v="Product 2"/>
    <n v="4533"/>
    <n v="178.1911655208786"/>
    <x v="4"/>
    <x v="1"/>
    <s v="Exceeded the target"/>
    <n v="4354.8088344791213"/>
    <n v="356.38233104175742"/>
    <n v="3998.4265034373639"/>
  </r>
  <r>
    <x v="14"/>
    <x v="1"/>
    <x v="8"/>
    <s v="Manager E"/>
    <s v="Product 1"/>
    <n v="3646"/>
    <n v="157.02605659708311"/>
    <x v="4"/>
    <x v="0"/>
    <s v="met the target"/>
    <n v="3488.973943402917"/>
    <n v="314.05211319416594"/>
    <n v="3174.9218302087511"/>
  </r>
  <r>
    <x v="15"/>
    <x v="1"/>
    <x v="9"/>
    <s v="Manager E"/>
    <s v="Product 1"/>
    <n v="3934"/>
    <n v="273.86068944562231"/>
    <x v="4"/>
    <x v="0"/>
    <s v="met the target"/>
    <n v="3660.1393105543775"/>
    <n v="547.72137889124497"/>
    <n v="3112.4179316631325"/>
  </r>
  <r>
    <x v="15"/>
    <x v="1"/>
    <x v="10"/>
    <s v="Manager E"/>
    <s v="Product 2"/>
    <n v="2141"/>
    <n v="99.261392727748998"/>
    <x v="4"/>
    <x v="1"/>
    <s v="Did not meet the target"/>
    <n v="2041.7386072722511"/>
    <n v="198.5227854554978"/>
    <n v="1843.2158218167533"/>
  </r>
  <r>
    <x v="15"/>
    <x v="1"/>
    <x v="11"/>
    <s v="Manager E"/>
    <s v="Product 3"/>
    <n v="2469"/>
    <n v="90.163379116362734"/>
    <x v="4"/>
    <x v="2"/>
    <s v="Did not meet the target"/>
    <n v="2378.8366208836374"/>
    <n v="180.3267582327253"/>
    <n v="2198.5098626509121"/>
  </r>
  <r>
    <x v="16"/>
    <x v="1"/>
    <x v="0"/>
    <s v="Manager E"/>
    <s v="Product 1"/>
    <n v="2863"/>
    <n v="149.41284784790571"/>
    <x v="4"/>
    <x v="0"/>
    <s v="met the target"/>
    <n v="2713.5871521520944"/>
    <n v="298.82569569581119"/>
    <n v="2414.7614564562832"/>
  </r>
  <r>
    <x v="16"/>
    <x v="1"/>
    <x v="1"/>
    <s v="Manager E"/>
    <s v="Product 3"/>
    <n v="2176"/>
    <n v="126.78026243400009"/>
    <x v="4"/>
    <x v="2"/>
    <s v="Did not meet the target"/>
    <n v="2049.2197375659998"/>
    <n v="253.56052486800036"/>
    <n v="1795.6592126979995"/>
  </r>
  <r>
    <x v="16"/>
    <x v="1"/>
    <x v="2"/>
    <s v="Manager E"/>
    <s v="Product 2"/>
    <n v="2720"/>
    <n v="112.83120536725571"/>
    <x v="4"/>
    <x v="1"/>
    <s v="met the target"/>
    <n v="2607.1687946327443"/>
    <n v="225.66241073451147"/>
    <n v="2381.5063838982328"/>
  </r>
  <r>
    <x v="17"/>
    <x v="1"/>
    <x v="3"/>
    <s v="Manager E"/>
    <s v="Product 1"/>
    <n v="2910"/>
    <n v="202.7701087334448"/>
    <x v="4"/>
    <x v="0"/>
    <s v="met the target"/>
    <n v="2707.2298912665551"/>
    <n v="405.54021746688977"/>
    <n v="2301.6896737996653"/>
  </r>
  <r>
    <x v="17"/>
    <x v="1"/>
    <x v="4"/>
    <s v="Manager E"/>
    <s v="Product 2"/>
    <n v="3860"/>
    <n v="154.31045433911609"/>
    <x v="4"/>
    <x v="1"/>
    <s v="met the target"/>
    <n v="3705.6895456608841"/>
    <n v="308.6209086782319"/>
    <n v="3397.0686369826522"/>
  </r>
  <r>
    <x v="17"/>
    <x v="1"/>
    <x v="5"/>
    <s v="Manager E"/>
    <s v="Product 3"/>
    <n v="1216"/>
    <n v="41.631275373471773"/>
    <x v="4"/>
    <x v="2"/>
    <s v="Did not meet the target"/>
    <n v="1174.3687246265283"/>
    <n v="83.262550746943361"/>
    <n v="1091.106173879585"/>
  </r>
  <r>
    <x v="18"/>
    <x v="1"/>
    <x v="6"/>
    <s v="Manager E"/>
    <s v="Product 3"/>
    <n v="3775"/>
    <n v="239.96755746105649"/>
    <x v="4"/>
    <x v="2"/>
    <s v="met the target"/>
    <n v="3535.0324425389435"/>
    <n v="479.93511492211292"/>
    <n v="3055.0973276168306"/>
  </r>
  <r>
    <x v="18"/>
    <x v="1"/>
    <x v="7"/>
    <s v="Manager E"/>
    <s v="Product 2"/>
    <n v="4781"/>
    <n v="201.65653822683859"/>
    <x v="4"/>
    <x v="1"/>
    <s v="Exceeded the target"/>
    <n v="4579.3434617731618"/>
    <n v="403.31307645367633"/>
    <n v="4176.0303853194855"/>
  </r>
  <r>
    <x v="18"/>
    <x v="1"/>
    <x v="8"/>
    <s v="Manager E"/>
    <s v="Product 1"/>
    <n v="3749"/>
    <n v="179.84577563721319"/>
    <x v="4"/>
    <x v="0"/>
    <s v="met the target"/>
    <n v="3569.1542243627869"/>
    <n v="359.69155127442627"/>
    <n v="3209.4626730883606"/>
  </r>
  <r>
    <x v="19"/>
    <x v="1"/>
    <x v="9"/>
    <s v="Manager E"/>
    <s v="Product 3"/>
    <n v="2241"/>
    <n v="104.6534786367145"/>
    <x v="4"/>
    <x v="2"/>
    <s v="Did not meet the target"/>
    <n v="2136.3465213632853"/>
    <n v="209.30695727342936"/>
    <n v="1927.039564089856"/>
  </r>
  <r>
    <x v="19"/>
    <x v="1"/>
    <x v="10"/>
    <s v="Manager E"/>
    <s v="Product 2"/>
    <n v="2563"/>
    <n v="92.509404427106134"/>
    <x v="4"/>
    <x v="1"/>
    <s v="met the target"/>
    <n v="2470.4905955728937"/>
    <n v="185.01880885421269"/>
    <n v="2285.471786718681"/>
  </r>
  <r>
    <x v="19"/>
    <x v="1"/>
    <x v="11"/>
    <s v="Manager E"/>
    <s v="Product 1"/>
    <n v="1770"/>
    <n v="73.829817425988736"/>
    <x v="4"/>
    <x v="0"/>
    <s v="Did not meet the target"/>
    <n v="1696.1701825740113"/>
    <n v="147.65963485197744"/>
    <n v="1548.5105477220338"/>
  </r>
  <r>
    <x v="20"/>
    <x v="1"/>
    <x v="0"/>
    <s v="Manager E"/>
    <s v="Product 3"/>
    <n v="4971"/>
    <n v="198.52453339709791"/>
    <x v="4"/>
    <x v="2"/>
    <s v="Exceeded the target"/>
    <n v="4772.4754666029021"/>
    <n v="397.04906679419582"/>
    <n v="4375.4263998087063"/>
  </r>
  <r>
    <x v="20"/>
    <x v="1"/>
    <x v="1"/>
    <s v="Manager E"/>
    <s v="Product 2"/>
    <n v="3967"/>
    <n v="182.7539037940347"/>
    <x v="4"/>
    <x v="1"/>
    <s v="met the target"/>
    <n v="3784.2460962059654"/>
    <n v="365.50780758806968"/>
    <n v="3418.7382886178957"/>
  </r>
  <r>
    <x v="20"/>
    <x v="1"/>
    <x v="2"/>
    <s v="Manager E"/>
    <s v="Product 1"/>
    <n v="1297"/>
    <n v="62.538442473467398"/>
    <x v="4"/>
    <x v="0"/>
    <s v="Did not meet the target"/>
    <n v="1234.4615575265325"/>
    <n v="125.07688494693502"/>
    <n v="1109.3846725795975"/>
  </r>
  <r>
    <x v="21"/>
    <x v="1"/>
    <x v="3"/>
    <s v="Manager E"/>
    <s v="Product 2"/>
    <n v="3389"/>
    <n v="201.99762057273301"/>
    <x v="4"/>
    <x v="1"/>
    <s v="met the target"/>
    <n v="3187.002379427267"/>
    <n v="403.99524114546603"/>
    <n v="2783.007138281801"/>
  </r>
  <r>
    <x v="21"/>
    <x v="1"/>
    <x v="4"/>
    <s v="Manager E"/>
    <s v="Product 3"/>
    <n v="1865"/>
    <n v="106.7163802932548"/>
    <x v="4"/>
    <x v="2"/>
    <s v="Did not meet the target"/>
    <n v="1758.2836197067452"/>
    <n v="213.43276058650963"/>
    <n v="1544.8508591202356"/>
  </r>
  <r>
    <x v="21"/>
    <x v="1"/>
    <x v="5"/>
    <s v="Manager E"/>
    <s v="Product 1"/>
    <n v="2085"/>
    <n v="91.612897485393646"/>
    <x v="4"/>
    <x v="0"/>
    <s v="Did not meet the target"/>
    <n v="1993.3871025146063"/>
    <n v="183.22579497078732"/>
    <n v="1810.161307543819"/>
  </r>
  <r>
    <x v="22"/>
    <x v="1"/>
    <x v="6"/>
    <s v="Manager E"/>
    <s v="Product 2"/>
    <n v="1894"/>
    <n v="126.6791643434825"/>
    <x v="4"/>
    <x v="1"/>
    <s v="Did not meet the target"/>
    <n v="1767.3208356565176"/>
    <n v="253.3583286869648"/>
    <n v="1513.9625069695528"/>
  </r>
  <r>
    <x v="22"/>
    <x v="1"/>
    <x v="7"/>
    <s v="Manager E"/>
    <s v="Product 3"/>
    <n v="2973"/>
    <n v="99.832691295312472"/>
    <x v="4"/>
    <x v="2"/>
    <s v="met the target"/>
    <n v="2873.1673087046875"/>
    <n v="199.66538259062509"/>
    <n v="2673.5019261140624"/>
  </r>
  <r>
    <x v="22"/>
    <x v="1"/>
    <x v="8"/>
    <s v="Manager E"/>
    <s v="Product 1"/>
    <n v="1197"/>
    <n v="61.312121833265991"/>
    <x v="4"/>
    <x v="0"/>
    <s v="Did not meet the target"/>
    <n v="1135.687878166734"/>
    <n v="122.62424366653204"/>
    <n v="1013.0636345002019"/>
  </r>
  <r>
    <x v="23"/>
    <x v="1"/>
    <x v="9"/>
    <s v="Manager E"/>
    <s v="Product 2"/>
    <n v="3852"/>
    <n v="208.06843589200429"/>
    <x v="4"/>
    <x v="1"/>
    <s v="met the target"/>
    <n v="3643.9315641079957"/>
    <n v="416.13687178400869"/>
    <n v="3227.794692323987"/>
  </r>
  <r>
    <x v="23"/>
    <x v="1"/>
    <x v="10"/>
    <s v="Manager E"/>
    <s v="Product 1"/>
    <n v="2908"/>
    <n v="162.52191478095429"/>
    <x v="4"/>
    <x v="0"/>
    <s v="met the target"/>
    <n v="2745.4780852190456"/>
    <n v="325.04382956190875"/>
    <n v="2420.4342556571369"/>
  </r>
  <r>
    <x v="23"/>
    <x v="1"/>
    <x v="11"/>
    <s v="Manager E"/>
    <s v="Product 3"/>
    <n v="1176"/>
    <n v="62.974311253002362"/>
    <x v="4"/>
    <x v="2"/>
    <s v="Did not meet the target"/>
    <n v="1113.0256887469977"/>
    <n v="125.94862250600454"/>
    <n v="987.07706624099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F9CC6A-2A92-46AD-A034-31E57C9A9701}"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anager names" fieldListSortAscending="1">
  <location ref="A4:I12" firstHeaderRow="1" firstDataRow="3" firstDataCol="1"/>
  <pivotFields count="13">
    <pivotField numFmtId="16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pivotField showAll="0"/>
    <pivotField dataField="1" showAll="0"/>
    <pivotField dataField="1" showAll="0"/>
    <pivotField axis="axisRow" showAll="0">
      <items count="6">
        <item x="4"/>
        <item x="3"/>
        <item x="1"/>
        <item x="2"/>
        <item x="0"/>
        <item t="default"/>
      </items>
    </pivotField>
    <pivotField axis="axisCol" showAll="0">
      <items count="4">
        <item x="1"/>
        <item x="2"/>
        <item x="0"/>
        <item t="default"/>
      </items>
    </pivotField>
    <pivotField showAll="0"/>
    <pivotField showAll="0"/>
    <pivotField showAll="0"/>
    <pivotField showAll="0"/>
  </pivotFields>
  <rowFields count="1">
    <field x="7"/>
  </rowFields>
  <rowItems count="6">
    <i>
      <x/>
    </i>
    <i>
      <x v="1"/>
    </i>
    <i>
      <x v="2"/>
    </i>
    <i>
      <x v="3"/>
    </i>
    <i>
      <x v="4"/>
    </i>
    <i t="grand">
      <x/>
    </i>
  </rowItems>
  <colFields count="2">
    <field x="-2"/>
    <field x="8"/>
  </colFields>
  <colItems count="8">
    <i>
      <x/>
      <x/>
    </i>
    <i r="1">
      <x v="1"/>
    </i>
    <i r="1">
      <x v="2"/>
    </i>
    <i i="1">
      <x v="1"/>
      <x/>
    </i>
    <i r="1" i="1">
      <x v="1"/>
    </i>
    <i r="1" i="1">
      <x v="2"/>
    </i>
    <i t="grand">
      <x/>
    </i>
    <i t="grand" i="1">
      <x/>
    </i>
  </colItems>
  <dataFields count="2">
    <dataField name="Total Sales" fld="5" baseField="7" baseItem="0"/>
    <dataField name="Commission Earned" fld="6" baseField="0" baseItem="0"/>
  </dataFields>
  <formats count="2">
    <format dxfId="2">
      <pivotArea field="8" grandRow="1" outline="0" collapsedLevelsAreSubtotals="1" axis="axisCol" fieldPosition="1">
        <references count="2">
          <reference field="4294967294" count="1" selected="0">
            <x v="0"/>
          </reference>
          <reference field="8" count="1" selected="0">
            <x v="2"/>
          </reference>
        </references>
      </pivotArea>
    </format>
    <format dxfId="1">
      <pivotArea field="8" grandRow="1" outline="0" collapsedLevelsAreSubtotals="1" axis="axisCol" fieldPosition="1">
        <references count="2">
          <reference field="4294967294" count="1" selected="0">
            <x v="1"/>
          </reference>
          <reference field="8" count="1" selected="0">
            <x v="2"/>
          </reference>
        </references>
      </pivotArea>
    </format>
  </formats>
  <chartFormats count="18">
    <chartFormat chart="0" format="57" series="1">
      <pivotArea type="data" outline="0" fieldPosition="0">
        <references count="2">
          <reference field="4294967294" count="1" selected="0">
            <x v="0"/>
          </reference>
          <reference field="7" count="1" selected="0">
            <x v="0"/>
          </reference>
        </references>
      </pivotArea>
    </chartFormat>
    <chartFormat chart="0" format="58" series="1">
      <pivotArea type="data" outline="0" fieldPosition="0">
        <references count="2">
          <reference field="4294967294" count="1" selected="0">
            <x v="0"/>
          </reference>
          <reference field="7" count="1" selected="0">
            <x v="1"/>
          </reference>
        </references>
      </pivotArea>
    </chartFormat>
    <chartFormat chart="0" format="59" series="1">
      <pivotArea type="data" outline="0" fieldPosition="0">
        <references count="2">
          <reference field="4294967294" count="1" selected="0">
            <x v="0"/>
          </reference>
          <reference field="7" count="1" selected="0">
            <x v="2"/>
          </reference>
        </references>
      </pivotArea>
    </chartFormat>
    <chartFormat chart="0" format="60" series="1">
      <pivotArea type="data" outline="0" fieldPosition="0">
        <references count="2">
          <reference field="4294967294" count="1" selected="0">
            <x v="0"/>
          </reference>
          <reference field="7" count="1" selected="0">
            <x v="3"/>
          </reference>
        </references>
      </pivotArea>
    </chartFormat>
    <chartFormat chart="0" format="61" series="1">
      <pivotArea type="data" outline="0" fieldPosition="0">
        <references count="2">
          <reference field="4294967294" count="1" selected="0">
            <x v="0"/>
          </reference>
          <reference field="7" count="1" selected="0">
            <x v="4"/>
          </reference>
        </references>
      </pivotArea>
    </chartFormat>
    <chartFormat chart="0" format="62" series="1">
      <pivotArea type="data" outline="0" fieldPosition="0">
        <references count="2">
          <reference field="4294967294" count="1" selected="0">
            <x v="1"/>
          </reference>
          <reference field="7" count="1" selected="0">
            <x v="2"/>
          </reference>
        </references>
      </pivotArea>
    </chartFormat>
    <chartFormat chart="0" format="63" series="1">
      <pivotArea type="data" outline="0" fieldPosition="0">
        <references count="2">
          <reference field="4294967294" count="1" selected="0">
            <x v="1"/>
          </reference>
          <reference field="7" count="1" selected="0">
            <x v="3"/>
          </reference>
        </references>
      </pivotArea>
    </chartFormat>
    <chartFormat chart="0" format="64" series="1">
      <pivotArea type="data" outline="0" fieldPosition="0">
        <references count="2">
          <reference field="4294967294" count="1" selected="0">
            <x v="1"/>
          </reference>
          <reference field="7" count="1" selected="0">
            <x v="4"/>
          </reference>
        </references>
      </pivotArea>
    </chartFormat>
    <chartFormat chart="0" format="65" series="1">
      <pivotArea type="data" outline="0" fieldPosition="0">
        <references count="2">
          <reference field="4294967294" count="1" selected="0">
            <x v="1"/>
          </reference>
          <reference field="7" count="1" selected="0">
            <x v="0"/>
          </reference>
        </references>
      </pivotArea>
    </chartFormat>
    <chartFormat chart="0" format="66" series="1">
      <pivotArea type="data" outline="0" fieldPosition="0">
        <references count="2">
          <reference field="4294967294" count="1" selected="0">
            <x v="1"/>
          </reference>
          <reference field="7" count="1" selected="0">
            <x v="1"/>
          </reference>
        </references>
      </pivotArea>
    </chartFormat>
    <chartFormat chart="0" format="67" series="1">
      <pivotArea type="data" outline="0" fieldPosition="0">
        <references count="1">
          <reference field="4294967294" count="1" selected="0">
            <x v="0"/>
          </reference>
        </references>
      </pivotArea>
    </chartFormat>
    <chartFormat chart="0" format="68" series="1">
      <pivotArea type="data" outline="0" fieldPosition="0">
        <references count="1">
          <reference field="4294967294" count="1" selected="0">
            <x v="1"/>
          </reference>
        </references>
      </pivotArea>
    </chartFormat>
    <chartFormat chart="0" format="143" series="1">
      <pivotArea type="data" outline="0" fieldPosition="0">
        <references count="2">
          <reference field="4294967294" count="1" selected="0">
            <x v="1"/>
          </reference>
          <reference field="8" count="1" selected="0">
            <x v="0"/>
          </reference>
        </references>
      </pivotArea>
    </chartFormat>
    <chartFormat chart="0" format="144" series="1">
      <pivotArea type="data" outline="0" fieldPosition="0">
        <references count="2">
          <reference field="4294967294" count="1" selected="0">
            <x v="1"/>
          </reference>
          <reference field="8" count="1" selected="0">
            <x v="1"/>
          </reference>
        </references>
      </pivotArea>
    </chartFormat>
    <chartFormat chart="0" format="145" series="1">
      <pivotArea type="data" outline="0" fieldPosition="0">
        <references count="2">
          <reference field="4294967294" count="1" selected="0">
            <x v="1"/>
          </reference>
          <reference field="8" count="1" selected="0">
            <x v="2"/>
          </reference>
        </references>
      </pivotArea>
    </chartFormat>
    <chartFormat chart="0" format="146" series="1">
      <pivotArea type="data" outline="0" fieldPosition="0">
        <references count="2">
          <reference field="4294967294" count="1" selected="0">
            <x v="0"/>
          </reference>
          <reference field="8" count="1" selected="0">
            <x v="2"/>
          </reference>
        </references>
      </pivotArea>
    </chartFormat>
    <chartFormat chart="0" format="147" series="1">
      <pivotArea type="data" outline="0" fieldPosition="0">
        <references count="2">
          <reference field="4294967294" count="1" selected="0">
            <x v="0"/>
          </reference>
          <reference field="8" count="1" selected="0">
            <x v="0"/>
          </reference>
        </references>
      </pivotArea>
    </chartFormat>
    <chartFormat chart="0" format="148" series="1">
      <pivotArea type="data" outline="0" fieldPosition="0">
        <references count="2">
          <reference field="4294967294" count="1" selected="0">
            <x v="0"/>
          </reference>
          <reference field="8" count="1" selected="0">
            <x v="1"/>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41875-7AE3-4A2B-BC7A-12B1243C0344}"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anager names" fieldListSortAscending="1">
  <location ref="R2:T8" firstHeaderRow="0" firstDataRow="1" firstDataCol="1"/>
  <pivotFields count="5">
    <pivotField showAll="0"/>
    <pivotField showAll="0"/>
    <pivotField axis="axisRow" showAll="0">
      <items count="6">
        <item x="4"/>
        <item x="3"/>
        <item x="1"/>
        <item x="2"/>
        <item x="0"/>
        <item t="default"/>
      </items>
    </pivotField>
    <pivotField dataField="1" showAll="0">
      <items count="120">
        <item x="69"/>
        <item x="94"/>
        <item x="116"/>
        <item x="93"/>
        <item x="117"/>
        <item x="70"/>
        <item x="68"/>
        <item x="16"/>
        <item x="63"/>
        <item x="115"/>
        <item x="34"/>
        <item x="21"/>
        <item x="57"/>
        <item x="118"/>
        <item x="92"/>
        <item x="84"/>
        <item x="43"/>
        <item x="88"/>
        <item x="22"/>
        <item x="89"/>
        <item x="20"/>
        <item x="32"/>
        <item x="39"/>
        <item x="19"/>
        <item x="91"/>
        <item x="67"/>
        <item x="76"/>
        <item x="82"/>
        <item x="11"/>
        <item x="10"/>
        <item x="40"/>
        <item x="106"/>
        <item x="15"/>
        <item x="86"/>
        <item x="107"/>
        <item x="83"/>
        <item x="46"/>
        <item x="18"/>
        <item x="104"/>
        <item x="66"/>
        <item x="35"/>
        <item x="36"/>
        <item x="108"/>
        <item x="65"/>
        <item x="45"/>
        <item x="58"/>
        <item x="90"/>
        <item x="74"/>
        <item x="100"/>
        <item x="75"/>
        <item x="28"/>
        <item x="103"/>
        <item x="102"/>
        <item x="105"/>
        <item x="27"/>
        <item x="61"/>
        <item x="95"/>
        <item x="62"/>
        <item x="60"/>
        <item x="6"/>
        <item x="2"/>
        <item x="26"/>
        <item x="23"/>
        <item x="8"/>
        <item x="17"/>
        <item x="59"/>
        <item x="42"/>
        <item x="12"/>
        <item x="25"/>
        <item x="99"/>
        <item x="4"/>
        <item x="5"/>
        <item x="112"/>
        <item x="114"/>
        <item x="111"/>
        <item x="98"/>
        <item x="33"/>
        <item x="9"/>
        <item x="1"/>
        <item x="109"/>
        <item x="49"/>
        <item x="13"/>
        <item x="87"/>
        <item x="30"/>
        <item x="24"/>
        <item x="101"/>
        <item x="37"/>
        <item x="44"/>
        <item x="85"/>
        <item x="97"/>
        <item x="77"/>
        <item x="52"/>
        <item x="50"/>
        <item x="64"/>
        <item x="80"/>
        <item x="3"/>
        <item x="29"/>
        <item x="31"/>
        <item x="73"/>
        <item x="72"/>
        <item x="56"/>
        <item x="54"/>
        <item x="48"/>
        <item x="110"/>
        <item x="51"/>
        <item x="81"/>
        <item x="38"/>
        <item x="71"/>
        <item x="79"/>
        <item x="55"/>
        <item x="47"/>
        <item x="14"/>
        <item x="53"/>
        <item x="41"/>
        <item x="113"/>
        <item x="0"/>
        <item x="78"/>
        <item x="96"/>
        <item x="7"/>
        <item t="default"/>
      </items>
    </pivotField>
    <pivotField dataField="1" showAll="0">
      <items count="120">
        <item x="69"/>
        <item x="94"/>
        <item x="93"/>
        <item x="116"/>
        <item x="57"/>
        <item x="68"/>
        <item x="117"/>
        <item x="63"/>
        <item x="22"/>
        <item x="32"/>
        <item x="84"/>
        <item x="88"/>
        <item x="91"/>
        <item x="70"/>
        <item x="34"/>
        <item x="21"/>
        <item x="43"/>
        <item x="118"/>
        <item x="67"/>
        <item x="19"/>
        <item x="16"/>
        <item x="40"/>
        <item x="18"/>
        <item x="86"/>
        <item x="11"/>
        <item x="39"/>
        <item x="82"/>
        <item x="115"/>
        <item x="58"/>
        <item x="106"/>
        <item x="92"/>
        <item x="108"/>
        <item x="36"/>
        <item x="35"/>
        <item x="15"/>
        <item x="76"/>
        <item x="10"/>
        <item x="104"/>
        <item x="46"/>
        <item x="20"/>
        <item x="89"/>
        <item x="28"/>
        <item x="66"/>
        <item x="74"/>
        <item x="27"/>
        <item x="105"/>
        <item x="60"/>
        <item x="90"/>
        <item x="45"/>
        <item x="65"/>
        <item x="75"/>
        <item x="62"/>
        <item x="107"/>
        <item x="83"/>
        <item x="8"/>
        <item x="33"/>
        <item x="87"/>
        <item x="111"/>
        <item x="100"/>
        <item x="102"/>
        <item x="103"/>
        <item x="17"/>
        <item x="98"/>
        <item x="61"/>
        <item x="99"/>
        <item x="112"/>
        <item x="9"/>
        <item x="4"/>
        <item x="114"/>
        <item x="50"/>
        <item x="26"/>
        <item x="52"/>
        <item x="5"/>
        <item x="2"/>
        <item x="13"/>
        <item x="12"/>
        <item x="42"/>
        <item x="23"/>
        <item x="95"/>
        <item x="3"/>
        <item x="25"/>
        <item x="6"/>
        <item x="64"/>
        <item x="81"/>
        <item x="24"/>
        <item x="59"/>
        <item x="72"/>
        <item x="44"/>
        <item x="1"/>
        <item x="49"/>
        <item x="97"/>
        <item x="38"/>
        <item x="51"/>
        <item x="31"/>
        <item x="80"/>
        <item x="30"/>
        <item x="73"/>
        <item x="37"/>
        <item x="110"/>
        <item x="56"/>
        <item x="109"/>
        <item x="101"/>
        <item x="77"/>
        <item x="48"/>
        <item x="47"/>
        <item x="54"/>
        <item x="29"/>
        <item x="85"/>
        <item x="55"/>
        <item x="7"/>
        <item x="79"/>
        <item x="14"/>
        <item x="113"/>
        <item x="96"/>
        <item x="71"/>
        <item x="78"/>
        <item x="41"/>
        <item x="0"/>
        <item x="53"/>
        <item t="default"/>
      </items>
    </pivotField>
  </pivotFields>
  <rowFields count="1">
    <field x="2"/>
  </rowFields>
  <rowItems count="6">
    <i>
      <x/>
    </i>
    <i>
      <x v="1"/>
    </i>
    <i>
      <x v="2"/>
    </i>
    <i>
      <x v="3"/>
    </i>
    <i>
      <x v="4"/>
    </i>
    <i t="grand">
      <x/>
    </i>
  </rowItems>
  <colFields count="1">
    <field x="-2"/>
  </colFields>
  <colItems count="2">
    <i>
      <x/>
    </i>
    <i i="1">
      <x v="1"/>
    </i>
  </colItems>
  <dataFields count="2">
    <dataField name="Sum of Sales" fld="3" baseField="0" baseItem="0"/>
    <dataField name="Sum of Commission earned" fld="4" baseField="0" baseItem="0"/>
  </dataFields>
  <formats count="1">
    <format dxfId="0">
      <pivotArea collapsedLevelsAreSubtotals="1" fieldPosition="0">
        <references count="2">
          <reference field="4294967294" count="1" selected="0">
            <x v="1"/>
          </reference>
          <reference field="2" count="0"/>
        </references>
      </pivotArea>
    </format>
  </formats>
  <chartFormats count="8">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DD1E0973-AE09-47FD-BC7C-E73BD25759FA}" autoFormatId="16" applyNumberFormats="0" applyBorderFormats="0" applyFontFormats="0" applyPatternFormats="0" applyAlignmentFormats="0" applyWidthHeightFormats="0">
  <queryTableRefresh nextId="7">
    <queryTableFields count="4">
      <queryTableField id="1" name="Year" tableColumnId="1"/>
      <queryTableField id="2" name="Month" tableColumnId="2"/>
      <queryTableField id="3" name="Manager names" tableColumnId="3"/>
      <queryTableField id="4" name="Cou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2D302A4F-0902-483F-BA43-D21DD46758F8}" autoFormatId="16" applyNumberFormats="0" applyBorderFormats="0" applyFontFormats="0" applyPatternFormats="0" applyAlignmentFormats="0" applyWidthHeightFormats="0">
  <queryTableRefresh nextId="4">
    <queryTableFields count="3">
      <queryTableField id="1" name="Year" tableColumnId="1"/>
      <queryTableField id="2" name="Manager names" tableColumnId="2"/>
      <queryTableField id="3" name="Sales"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236D5D27-A712-4A0F-B659-5E6F0A645024}" autoFormatId="16" applyNumberFormats="0" applyBorderFormats="0" applyFontFormats="0" applyPatternFormats="0" applyAlignmentFormats="0" applyWidthHeightFormats="0">
  <queryTableRefresh nextId="4">
    <queryTableFields count="3">
      <queryTableField id="1" name="Year" tableColumnId="1"/>
      <queryTableField id="2" name="Manager names" tableColumnId="2"/>
      <queryTableField id="3" name="Sale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s" xr10:uid="{AC6689AB-0900-4869-AF8A-5CCA7442E8D2}" sourceName="Manager names">
  <pivotTables>
    <pivotTable tabId="9" name="PivotTable13"/>
  </pivotTables>
  <data>
    <tabular pivotCacheId="1135204447">
      <items count="5">
        <i x="4" s="1"/>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escription" xr10:uid="{4CAE94BE-5336-497A-AFBA-6E964192052D}" sourceName="Product Description">
  <pivotTables>
    <pivotTable tabId="9" name="PivotTable13"/>
  </pivotTables>
  <data>
    <tabular pivotCacheId="113520444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DADC54-0856-4FC8-A67E-C7C313B027EA}" sourceName="Year">
  <pivotTables>
    <pivotTable tabId="9" name="PivotTable13"/>
  </pivotTables>
  <data>
    <tabular pivotCacheId="113520444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6D0DC5-F738-4B0F-B266-B0BF35E0C759}" sourceName="Month">
  <pivotTables>
    <pivotTable tabId="9" name="PivotTable13"/>
  </pivotTables>
  <data>
    <tabular pivotCacheId="1135204447">
      <items count="24">
        <i x="0" s="1"/>
        <i x="1" s="1"/>
        <i x="2" s="1"/>
        <i x="3" s="1"/>
        <i x="4" s="1"/>
        <i x="5" s="1"/>
        <i x="6" s="1"/>
        <i x="7" s="1"/>
        <i x="8" s="1"/>
        <i x="9" s="1"/>
        <i x="10" s="1"/>
        <i x="11" s="1"/>
        <i x="12" s="1" nd="1"/>
        <i x="13" s="1" nd="1"/>
        <i x="14" s="1" nd="1"/>
        <i x="15" s="1" nd="1"/>
        <i x="16" s="1" nd="1"/>
        <i x="17" s="1" nd="1"/>
        <i x="18" s="1" nd="1"/>
        <i x="19" s="1" nd="1"/>
        <i x="20" s="1" nd="1"/>
        <i x="21" s="1" nd="1"/>
        <i x="22" s="1" nd="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names" xr10:uid="{A1C1606F-5C88-425E-8F1C-787749C2E968}" cache="Slicer_Manager_names" caption="Manager names" startItem="1" rowHeight="234950"/>
  <slicer name="Product Description" xr10:uid="{B60F99BA-2566-4428-8D90-17D8FD245B42}" cache="Slicer_Product_Description" caption="Product Description" rowHeight="234950"/>
  <slicer name="Year" xr10:uid="{8ECF12A4-8615-4BD6-8BD7-83276AD742CE}" cache="Slicer_Year" caption="Year" rowHeight="234950"/>
  <slicer name="Month" xr10:uid="{E9458D21-C1D7-4A58-A742-1827FC87FF33}" cache="Slicer_Month" caption="Month"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150999-287C-4092-A01B-22A544B1325A}" name="Table2" displayName="Table2" ref="A1:B11" totalsRowShown="0" headerRowDxfId="27" headerRowBorderDxfId="26" tableBorderDxfId="25" totalsRowBorderDxfId="24">
  <autoFilter ref="A1:B11" xr:uid="{1D150999-287C-4092-A01B-22A544B1325A}"/>
  <tableColumns count="2">
    <tableColumn id="1" xr3:uid="{AF206B95-5380-4DDF-9228-E69C23C35446}" name="Product ID" dataDxfId="23"/>
    <tableColumn id="2" xr3:uid="{7B8A36B6-6958-4E1D-867A-8B03963BAF20}" name="Product Name" dataDxfId="2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85BDFD-84FB-43FB-A0B8-0ADDE427678E}" name="Table1" displayName="Table1" ref="A1:M362" totalsRowCount="1" headerRowDxfId="21" headerRowBorderDxfId="20" tableBorderDxfId="19">
  <autoFilter ref="A1:M361" xr:uid="{0785BDFD-84FB-43FB-A0B8-0ADDE427678E}"/>
  <tableColumns count="13">
    <tableColumn id="1" xr3:uid="{322E0CE9-A819-4E03-90DE-7C7E5B645B77}" name="Date" totalsRowLabel="Total" dataDxfId="18"/>
    <tableColumn id="8" xr3:uid="{7017BF9C-14BD-419D-A930-426816B3BA0E}" name="Year" dataDxfId="17">
      <calculatedColumnFormula>YEAR(Table1[[#This Row],[Date]])</calculatedColumnFormula>
    </tableColumn>
    <tableColumn id="9" xr3:uid="{31CAA4B6-3F82-4965-B2AA-A9C59F6F350C}" name="Month" dataDxfId="16">
      <calculatedColumnFormula>MONTH(Table1[[#This Row],[Date]])</calculatedColumnFormula>
    </tableColumn>
    <tableColumn id="2" xr3:uid="{E5CCCD38-7936-4096-96B2-D7A3F16D5D2D}" name="Manager"/>
    <tableColumn id="3" xr3:uid="{8DF4F710-0C7F-4154-AE1C-F20ACC16AFA5}" name="Product"/>
    <tableColumn id="4" xr3:uid="{033AF5EC-372B-4E11-AD77-CEF729377E73}" name="Sales" totalsRowFunction="sum"/>
    <tableColumn id="5" xr3:uid="{22CA0672-61F8-4A4A-83AD-517D71F282EE}" name="Commission" totalsRowFunction="sum"/>
    <tableColumn id="6" xr3:uid="{3AAABA6E-4C05-4D36-8065-66E7BB15F174}" name="Manager names" totalsRowFunction="sum" dataDxfId="15">
      <calculatedColumnFormula>VLOOKUP(Table1[[#This Row],[Manager]],Managers!$A$2:$B$9,2,FALSE)</calculatedColumnFormula>
    </tableColumn>
    <tableColumn id="7" xr3:uid="{BFAD7DF2-D003-48C0-86BE-C09AFAC0C6A9}" name="Product Description" totalsRowFunction="sum" dataDxfId="14">
      <calculatedColumnFormula>VLOOKUP(Table1[[#This Row],[Product]],Products!$A$2:$B$11,2,FALSE)</calculatedColumnFormula>
    </tableColumn>
    <tableColumn id="10" xr3:uid="{4476D14B-E91E-4AA3-8045-BF04DBC77EE8}" name="Qualitative Column" totalsRowFunction="sum" dataDxfId="13">
      <calculatedColumnFormula>IF(Table1[[#This Row],[Sales]]&gt;4000,"Exceeded the target",IF(AND(Table1[[#This Row],[Sales]]&lt;=4000,Table1[[#This Row],[Sales]]&lt;2500),"Did not meet the target","met the target"))</calculatedColumnFormula>
    </tableColumn>
    <tableColumn id="12" xr3:uid="{AC6A5A20-C6AE-44FE-A698-9779C3BBF48C}" name="Revenue" totalsRowFunction="sum" dataDxfId="12">
      <calculatedColumnFormula>Table1[[#This Row],[Sales]]-Table1[[#This Row],[Commission]]</calculatedColumnFormula>
    </tableColumn>
    <tableColumn id="13" xr3:uid="{31A3B04E-1DC7-4B8D-9F3B-2D35E6DD1775}" name="Cost" totalsRowFunction="sum" dataDxfId="11">
      <calculatedColumnFormula>Table1[[#This Row],[Sales]]+Table1[[#This Row],[Commission]]-Table1[[#This Row],[Revenue]]</calculatedColumnFormula>
    </tableColumn>
    <tableColumn id="14" xr3:uid="{C12CDB5B-9C03-4450-A2BF-468E1251F092}" name="Net Proceed" totalsRowFunction="sum" dataDxfId="10">
      <calculatedColumnFormula>Table1[[#This Row],[Revenue]]-Table1[[#This Row],[Cost]]</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8344CB-F2BF-4740-AA5B-6AEDB10B9772}" name="Table1__3_1" displayName="Table1__3_1" ref="A2:D122" tableType="queryTable" totalsRowShown="0">
  <autoFilter ref="A2:D122" xr:uid="{2D8344CB-F2BF-4740-AA5B-6AEDB10B9772}"/>
  <tableColumns count="4">
    <tableColumn id="1" xr3:uid="{704E2665-F0F4-4FE3-835B-3E5CE23AFC1E}" uniqueName="1" name="Year" queryTableFieldId="1"/>
    <tableColumn id="2" xr3:uid="{E3A22469-BAAB-401E-BC74-611785538CAE}" uniqueName="2" name="Month" queryTableFieldId="2"/>
    <tableColumn id="3" xr3:uid="{3D3B094F-7CF5-4342-A58A-AE9105D33FC9}" uniqueName="3" name="Manager names" queryTableFieldId="3" dataDxfId="9"/>
    <tableColumn id="4" xr3:uid="{6196EE37-A18D-4757-83CA-56AD3F9FC62A}" uniqueName="4" name="Sales" queryTableFieldId="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04B326-ACF2-4FE9-8D87-FA1E8BAA6559}" name="Table1__3_1_1" displayName="Table1__3_1_1" ref="F5:H10" tableType="queryTable" totalsRowShown="0">
  <autoFilter ref="F5:H10" xr:uid="{BD04B326-ACF2-4FE9-8D87-FA1E8BAA6559}"/>
  <sortState xmlns:xlrd2="http://schemas.microsoft.com/office/spreadsheetml/2017/richdata2" ref="F6:H10">
    <sortCondition descending="1" ref="H5:H10"/>
  </sortState>
  <tableColumns count="3">
    <tableColumn id="1" xr3:uid="{60A52991-B27D-45B9-B9BE-50B34125A4D6}" uniqueName="1" name="Year" queryTableFieldId="1"/>
    <tableColumn id="2" xr3:uid="{265F105B-B279-4CF1-AE8B-91A9A2E36424}" uniqueName="2" name="Manager names" queryTableFieldId="2" dataDxfId="8"/>
    <tableColumn id="3" xr3:uid="{8DABF5D7-EF54-4171-B34F-0413C022C087}" uniqueName="3" name="Sales"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58DCBF1-2E77-498F-86BC-7E4D6A16EDE9}" name="Table1__3_1__2" displayName="Table1__3_1__2" ref="F15:H20" tableType="queryTable" totalsRowShown="0">
  <autoFilter ref="F15:H20" xr:uid="{358DCBF1-2E77-498F-86BC-7E4D6A16EDE9}"/>
  <sortState xmlns:xlrd2="http://schemas.microsoft.com/office/spreadsheetml/2017/richdata2" ref="F16:H20">
    <sortCondition descending="1" ref="H15:H20"/>
  </sortState>
  <tableColumns count="3">
    <tableColumn id="1" xr3:uid="{9764EE7C-C34C-4D39-A0B2-1D53B887837B}" uniqueName="1" name="Year" queryTableFieldId="1"/>
    <tableColumn id="2" xr3:uid="{846F473C-723E-4FED-AA58-36D17D80E7CD}" uniqueName="2" name="Manager names" queryTableFieldId="2" dataDxfId="7"/>
    <tableColumn id="3" xr3:uid="{ABB78EC7-8DB5-4DA3-B19B-5291217D49CC}" uniqueName="3" name="Sales"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3E2C01-4A8F-4888-80C4-2E9FE249DA29}" name="Table12" displayName="Table12" ref="J5:M10" totalsRowShown="0">
  <autoFilter ref="J5:M10" xr:uid="{6D3E2C01-4A8F-4888-80C4-2E9FE249DA29}"/>
  <tableColumns count="4">
    <tableColumn id="1" xr3:uid="{96875A75-EDF8-46C6-959D-1FD04C492D5A}" name="Mananger names" dataDxfId="6"/>
    <tableColumn id="2" xr3:uid="{324DC008-F379-45D8-ABBE-3F0209FEA528}" name="Sales Above $10000/Times" dataDxfId="5">
      <calculatedColumnFormula>COUNTIFS(Table1__3_1[Sales],"&gt;10000",Table1__3_1[Manager names],Table12[[#This Row],[Mananger names]])</calculatedColumnFormula>
    </tableColumn>
    <tableColumn id="3" xr3:uid="{3324EA2A-32F6-437D-A1AA-AA279C6F8A8C}" name="Sales Below $7500/Times" dataDxfId="4">
      <calculatedColumnFormula>COUNTIFS(Table1__3_1[Sales],"&lt;7500",Table1__3_1[Manager names],Table12[[#This Row],[Mananger names]])</calculatedColumnFormula>
    </tableColumn>
    <tableColumn id="4" xr3:uid="{EE7F49DD-15F1-4920-AFED-B2AF92FB4B57}" name="Less the no. of Times" dataDxfId="3">
      <calculatedColumnFormula>Table12[[#This Row],[Sales Above $10000/Times]]-Table12[[#This Row],[Sales Below $7500/Times]]</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A81F167-BC93-40CB-B80E-9685CB42E655}" sourceName="Date">
  <pivotTables>
    <pivotTable tabId="9" name="PivotTable13"/>
  </pivotTables>
  <state minimalRefreshVersion="6" lastRefreshVersion="6" pivotCacheId="1135204447"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EDE737-6F3F-4475-8C52-35A36738C321}" cache="NativeTimeline_Date" caption="Date"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96D3-CE3C-40B7-9F82-52BAB4705382}">
  <dimension ref="A1:B11"/>
  <sheetViews>
    <sheetView workbookViewId="0">
      <selection activeCell="C14" sqref="C14"/>
    </sheetView>
  </sheetViews>
  <sheetFormatPr defaultRowHeight="14.4" x14ac:dyDescent="0.3"/>
  <cols>
    <col min="1" max="1" width="11.77734375" customWidth="1"/>
    <col min="2" max="2" width="21.5546875" bestFit="1" customWidth="1"/>
  </cols>
  <sheetData>
    <row r="1" spans="1:2" x14ac:dyDescent="0.3">
      <c r="A1" s="7" t="s">
        <v>21</v>
      </c>
      <c r="B1" s="8" t="s">
        <v>22</v>
      </c>
    </row>
    <row r="2" spans="1:2" x14ac:dyDescent="0.3">
      <c r="A2" s="5" t="s">
        <v>40</v>
      </c>
      <c r="B2" s="6" t="s">
        <v>23</v>
      </c>
    </row>
    <row r="3" spans="1:2" x14ac:dyDescent="0.3">
      <c r="A3" s="5" t="s">
        <v>41</v>
      </c>
      <c r="B3" s="6" t="s">
        <v>24</v>
      </c>
    </row>
    <row r="4" spans="1:2" x14ac:dyDescent="0.3">
      <c r="A4" s="5" t="s">
        <v>42</v>
      </c>
      <c r="B4" s="6" t="s">
        <v>27</v>
      </c>
    </row>
    <row r="5" spans="1:2" x14ac:dyDescent="0.3">
      <c r="A5" s="5" t="s">
        <v>43</v>
      </c>
      <c r="B5" s="6" t="s">
        <v>26</v>
      </c>
    </row>
    <row r="6" spans="1:2" x14ac:dyDescent="0.3">
      <c r="A6" s="5" t="s">
        <v>44</v>
      </c>
      <c r="B6" s="6" t="s">
        <v>28</v>
      </c>
    </row>
    <row r="7" spans="1:2" x14ac:dyDescent="0.3">
      <c r="A7" s="5" t="s">
        <v>45</v>
      </c>
      <c r="B7" s="6" t="s">
        <v>25</v>
      </c>
    </row>
    <row r="8" spans="1:2" x14ac:dyDescent="0.3">
      <c r="A8" s="5" t="s">
        <v>46</v>
      </c>
      <c r="B8" s="6" t="s">
        <v>29</v>
      </c>
    </row>
    <row r="9" spans="1:2" x14ac:dyDescent="0.3">
      <c r="A9" s="5" t="s">
        <v>47</v>
      </c>
      <c r="B9" s="6" t="s">
        <v>30</v>
      </c>
    </row>
    <row r="10" spans="1:2" x14ac:dyDescent="0.3">
      <c r="A10" s="5" t="s">
        <v>48</v>
      </c>
      <c r="B10" s="6" t="s">
        <v>31</v>
      </c>
    </row>
    <row r="11" spans="1:2" x14ac:dyDescent="0.3">
      <c r="A11" s="5" t="s">
        <v>49</v>
      </c>
      <c r="B11" s="9" t="s">
        <v>32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346D2-C985-4F8D-94D8-A2BA9865ADEF}">
  <dimension ref="A1:B9"/>
  <sheetViews>
    <sheetView workbookViewId="0">
      <selection activeCell="A10" sqref="A10"/>
    </sheetView>
  </sheetViews>
  <sheetFormatPr defaultRowHeight="14.4" x14ac:dyDescent="0.3"/>
  <cols>
    <col min="1" max="1" width="11.33203125" customWidth="1"/>
    <col min="2" max="2" width="17.44140625" bestFit="1" customWidth="1"/>
  </cols>
  <sheetData>
    <row r="1" spans="1:2" x14ac:dyDescent="0.3">
      <c r="A1" s="3" t="s">
        <v>13</v>
      </c>
      <c r="B1" s="3" t="s">
        <v>14</v>
      </c>
    </row>
    <row r="2" spans="1:2" x14ac:dyDescent="0.3">
      <c r="A2" s="2" t="s">
        <v>3</v>
      </c>
      <c r="B2" s="2" t="s">
        <v>16</v>
      </c>
    </row>
    <row r="3" spans="1:2" x14ac:dyDescent="0.3">
      <c r="A3" s="2" t="s">
        <v>4</v>
      </c>
      <c r="B3" s="2" t="s">
        <v>33</v>
      </c>
    </row>
    <row r="4" spans="1:2" x14ac:dyDescent="0.3">
      <c r="A4" s="2" t="s">
        <v>5</v>
      </c>
      <c r="B4" s="2" t="s">
        <v>34</v>
      </c>
    </row>
    <row r="5" spans="1:2" x14ac:dyDescent="0.3">
      <c r="A5" s="2" t="s">
        <v>6</v>
      </c>
      <c r="B5" s="2" t="s">
        <v>17</v>
      </c>
    </row>
    <row r="6" spans="1:2" x14ac:dyDescent="0.3">
      <c r="A6" s="2" t="s">
        <v>7</v>
      </c>
      <c r="B6" s="2" t="s">
        <v>15</v>
      </c>
    </row>
    <row r="7" spans="1:2" x14ac:dyDescent="0.3">
      <c r="A7" s="2" t="s">
        <v>36</v>
      </c>
      <c r="B7" s="2" t="s">
        <v>20</v>
      </c>
    </row>
    <row r="8" spans="1:2" x14ac:dyDescent="0.3">
      <c r="A8" s="2" t="s">
        <v>37</v>
      </c>
      <c r="B8" s="2" t="s">
        <v>19</v>
      </c>
    </row>
    <row r="9" spans="1:2" x14ac:dyDescent="0.3">
      <c r="A9" s="2" t="s">
        <v>38</v>
      </c>
      <c r="B9"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2"/>
  <sheetViews>
    <sheetView workbookViewId="0"/>
  </sheetViews>
  <sheetFormatPr defaultRowHeight="14.4" x14ac:dyDescent="0.3"/>
  <cols>
    <col min="1" max="1" width="18.109375" bestFit="1" customWidth="1"/>
    <col min="2" max="2" width="9.109375" bestFit="1" customWidth="1"/>
    <col min="3" max="3" width="11.21875" bestFit="1" customWidth="1"/>
    <col min="4" max="4" width="14.5546875" customWidth="1"/>
    <col min="5" max="5" width="12.109375" bestFit="1" customWidth="1"/>
    <col min="6" max="6" width="9.6640625" bestFit="1" customWidth="1"/>
    <col min="7" max="7" width="13.44140625" customWidth="1"/>
    <col min="8" max="8" width="19.109375" bestFit="1" customWidth="1"/>
    <col min="9" max="9" width="20.6640625" bestFit="1" customWidth="1"/>
    <col min="10" max="10" width="21.77734375" bestFit="1" customWidth="1"/>
    <col min="11" max="11" width="12.77734375" bestFit="1" customWidth="1"/>
    <col min="12" max="12" width="9.109375" bestFit="1" customWidth="1"/>
    <col min="13" max="13" width="16.5546875" bestFit="1" customWidth="1"/>
  </cols>
  <sheetData>
    <row r="1" spans="1:13" x14ac:dyDescent="0.3">
      <c r="A1" s="4" t="s">
        <v>0</v>
      </c>
      <c r="B1" s="4" t="s">
        <v>50</v>
      </c>
      <c r="C1" s="4" t="s">
        <v>51</v>
      </c>
      <c r="D1" s="4" t="s">
        <v>1</v>
      </c>
      <c r="E1" s="4" t="s">
        <v>2</v>
      </c>
      <c r="F1" s="4" t="s">
        <v>12</v>
      </c>
      <c r="G1" s="4" t="s">
        <v>11</v>
      </c>
      <c r="H1" s="4" t="s">
        <v>35</v>
      </c>
      <c r="I1" s="4" t="s">
        <v>39</v>
      </c>
      <c r="J1" s="4" t="s">
        <v>52</v>
      </c>
      <c r="K1" s="4" t="s">
        <v>76</v>
      </c>
      <c r="L1" s="4" t="s">
        <v>82</v>
      </c>
      <c r="M1" s="4" t="s">
        <v>94</v>
      </c>
    </row>
    <row r="2" spans="1:13" x14ac:dyDescent="0.3">
      <c r="A2" s="1">
        <v>44592</v>
      </c>
      <c r="B2">
        <f>YEAR(Table1[[#This Row],[Date]])</f>
        <v>2022</v>
      </c>
      <c r="C2" t="s">
        <v>55</v>
      </c>
      <c r="D2" t="s">
        <v>3</v>
      </c>
      <c r="E2" t="s">
        <v>8</v>
      </c>
      <c r="F2">
        <v>3732</v>
      </c>
      <c r="G2">
        <v>251.41946561021319</v>
      </c>
      <c r="H2" t="str">
        <f>VLOOKUP(Table1[[#This Row],[Manager]],Managers!$A$2:$B$9,2,FALSE)</f>
        <v>Russ Geller</v>
      </c>
      <c r="I2" t="str">
        <f>VLOOKUP(Table1[[#This Row],[Product]],Products!$A$2:$B$11,2,FALSE)</f>
        <v>Traditional English Trifle</v>
      </c>
      <c r="J2" t="str">
        <f>IF(Table1[[#This Row],[Sales]]&gt;4000,"Exceeded the target",IF(AND(Table1[[#This Row],[Sales]]&lt;=4000,Table1[[#This Row],[Sales]]&lt;2500),"Did not meet the target","met the target"))</f>
        <v>met the target</v>
      </c>
      <c r="K2">
        <f>Table1[[#This Row],[Sales]]-Table1[[#This Row],[Commission]]</f>
        <v>3480.5805343897869</v>
      </c>
      <c r="L2">
        <f>Table1[[#This Row],[Sales]]+Table1[[#This Row],[Commission]]-Table1[[#This Row],[Revenue]]</f>
        <v>502.83893122042628</v>
      </c>
      <c r="M2">
        <f>Table1[[#This Row],[Revenue]]-Table1[[#This Row],[Cost]]</f>
        <v>2977.7416031693606</v>
      </c>
    </row>
    <row r="3" spans="1:13" x14ac:dyDescent="0.3">
      <c r="A3" s="1">
        <v>44592</v>
      </c>
      <c r="B3">
        <f>YEAR(Table1[[#This Row],[Date]])</f>
        <v>2022</v>
      </c>
      <c r="C3" t="s">
        <v>56</v>
      </c>
      <c r="D3" t="s">
        <v>3</v>
      </c>
      <c r="E3" t="s">
        <v>9</v>
      </c>
      <c r="F3">
        <v>3607</v>
      </c>
      <c r="G3">
        <v>196.7930081267595</v>
      </c>
      <c r="H3" t="str">
        <f>VLOOKUP(Table1[[#This Row],[Manager]],Managers!$A$2:$B$9,2,FALSE)</f>
        <v>Russ Geller</v>
      </c>
      <c r="I3" t="str">
        <f>VLOOKUP(Table1[[#This Row],[Product]],Products!$A$2:$B$11,2,FALSE)</f>
        <v>Floor Cheesecake</v>
      </c>
      <c r="J3" t="str">
        <f>IF(Table1[[#This Row],[Sales]]&gt;4000,"Exceeded the target",IF(AND(Table1[[#This Row],[Sales]]&lt;=4000,Table1[[#This Row],[Sales]]&lt;2500),"Did not meet the target","met the target"))</f>
        <v>met the target</v>
      </c>
      <c r="K3">
        <f>Table1[[#This Row],[Sales]]-Table1[[#This Row],[Commission]]</f>
        <v>3410.2069918732404</v>
      </c>
      <c r="L3">
        <f>Table1[[#This Row],[Sales]]+Table1[[#This Row],[Commission]]-Table1[[#This Row],[Revenue]]</f>
        <v>393.58601625351912</v>
      </c>
      <c r="M3">
        <f>Table1[[#This Row],[Revenue]]-Table1[[#This Row],[Cost]]</f>
        <v>3016.6209756197213</v>
      </c>
    </row>
    <row r="4" spans="1:13" x14ac:dyDescent="0.3">
      <c r="A4" s="1">
        <v>44592</v>
      </c>
      <c r="B4">
        <f>YEAR(Table1[[#This Row],[Date]])</f>
        <v>2022</v>
      </c>
      <c r="C4" t="s">
        <v>57</v>
      </c>
      <c r="D4" t="s">
        <v>3</v>
      </c>
      <c r="E4" t="s">
        <v>10</v>
      </c>
      <c r="F4">
        <v>2653</v>
      </c>
      <c r="G4">
        <v>136.43135305700861</v>
      </c>
      <c r="H4" t="str">
        <f>VLOOKUP(Table1[[#This Row],[Manager]],Managers!$A$2:$B$9,2,FALSE)</f>
        <v>Russ Geller</v>
      </c>
      <c r="I4" t="str">
        <f>VLOOKUP(Table1[[#This Row],[Product]],Products!$A$2:$B$11,2,FALSE)</f>
        <v>Mockolate</v>
      </c>
      <c r="J4" t="str">
        <f>IF(Table1[[#This Row],[Sales]]&gt;4000,"Exceeded the target",IF(AND(Table1[[#This Row],[Sales]]&lt;=4000,Table1[[#This Row],[Sales]]&lt;2500),"Did not meet the target","met the target"))</f>
        <v>met the target</v>
      </c>
      <c r="K4">
        <f>Table1[[#This Row],[Sales]]-Table1[[#This Row],[Commission]]</f>
        <v>2516.5686469429916</v>
      </c>
      <c r="L4">
        <f>Table1[[#This Row],[Sales]]+Table1[[#This Row],[Commission]]-Table1[[#This Row],[Revenue]]</f>
        <v>272.86270611401687</v>
      </c>
      <c r="M4">
        <f>Table1[[#This Row],[Revenue]]-Table1[[#This Row],[Cost]]</f>
        <v>2243.7059408289747</v>
      </c>
    </row>
    <row r="5" spans="1:13" x14ac:dyDescent="0.3">
      <c r="A5" s="1">
        <v>44620</v>
      </c>
      <c r="B5">
        <f>YEAR(Table1[[#This Row],[Date]])</f>
        <v>2022</v>
      </c>
      <c r="C5" t="s">
        <v>58</v>
      </c>
      <c r="D5" t="s">
        <v>3</v>
      </c>
      <c r="E5" t="s">
        <v>10</v>
      </c>
      <c r="F5">
        <v>4468</v>
      </c>
      <c r="G5">
        <v>258.4905083210989</v>
      </c>
      <c r="H5" t="str">
        <f>VLOOKUP(Table1[[#This Row],[Manager]],Managers!$A$2:$B$9,2,FALSE)</f>
        <v>Russ Geller</v>
      </c>
      <c r="I5" t="str">
        <f>VLOOKUP(Table1[[#This Row],[Product]],Products!$A$2:$B$11,2,FALSE)</f>
        <v>Mockolate</v>
      </c>
      <c r="J5" t="str">
        <f>IF(Table1[[#This Row],[Sales]]&gt;4000,"Exceeded the target",IF(AND(Table1[[#This Row],[Sales]]&lt;=4000,Table1[[#This Row],[Sales]]&lt;2500),"Did not meet the target","met the target"))</f>
        <v>Exceeded the target</v>
      </c>
      <c r="K5">
        <f>Table1[[#This Row],[Sales]]-Table1[[#This Row],[Commission]]</f>
        <v>4209.5094916789012</v>
      </c>
      <c r="L5">
        <f>Table1[[#This Row],[Sales]]+Table1[[#This Row],[Commission]]-Table1[[#This Row],[Revenue]]</f>
        <v>516.98101664219757</v>
      </c>
      <c r="M5">
        <f>Table1[[#This Row],[Revenue]]-Table1[[#This Row],[Cost]]</f>
        <v>3692.5284750367036</v>
      </c>
    </row>
    <row r="6" spans="1:13" x14ac:dyDescent="0.3">
      <c r="A6" s="1">
        <v>44620</v>
      </c>
      <c r="B6">
        <f>YEAR(Table1[[#This Row],[Date]])</f>
        <v>2022</v>
      </c>
      <c r="C6" t="s">
        <v>59</v>
      </c>
      <c r="D6" t="s">
        <v>3</v>
      </c>
      <c r="E6" t="s">
        <v>8</v>
      </c>
      <c r="F6">
        <v>4544</v>
      </c>
      <c r="G6">
        <v>215.27956586144401</v>
      </c>
      <c r="H6" t="str">
        <f>VLOOKUP(Table1[[#This Row],[Manager]],Managers!$A$2:$B$9,2,FALSE)</f>
        <v>Russ Geller</v>
      </c>
      <c r="I6" t="str">
        <f>VLOOKUP(Table1[[#This Row],[Product]],Products!$A$2:$B$11,2,FALSE)</f>
        <v>Traditional English Trifle</v>
      </c>
      <c r="J6" t="str">
        <f>IF(Table1[[#This Row],[Sales]]&gt;4000,"Exceeded the target",IF(AND(Table1[[#This Row],[Sales]]&lt;=4000,Table1[[#This Row],[Sales]]&lt;2500),"Did not meet the target","met the target"))</f>
        <v>Exceeded the target</v>
      </c>
      <c r="K6">
        <f>Table1[[#This Row],[Sales]]-Table1[[#This Row],[Commission]]</f>
        <v>4328.7204341385559</v>
      </c>
      <c r="L6">
        <f>Table1[[#This Row],[Sales]]+Table1[[#This Row],[Commission]]-Table1[[#This Row],[Revenue]]</f>
        <v>430.5591317228882</v>
      </c>
      <c r="M6">
        <f>Table1[[#This Row],[Revenue]]-Table1[[#This Row],[Cost]]</f>
        <v>3898.1613024156677</v>
      </c>
    </row>
    <row r="7" spans="1:13" x14ac:dyDescent="0.3">
      <c r="A7" s="1">
        <v>44620</v>
      </c>
      <c r="B7">
        <f>YEAR(Table1[[#This Row],[Date]])</f>
        <v>2022</v>
      </c>
      <c r="C7" t="s">
        <v>60</v>
      </c>
      <c r="D7" t="s">
        <v>3</v>
      </c>
      <c r="E7" t="s">
        <v>9</v>
      </c>
      <c r="F7">
        <v>3648</v>
      </c>
      <c r="G7">
        <v>154.93725510057939</v>
      </c>
      <c r="H7" t="str">
        <f>VLOOKUP(Table1[[#This Row],[Manager]],Managers!$A$2:$B$9,2,FALSE)</f>
        <v>Russ Geller</v>
      </c>
      <c r="I7" t="str">
        <f>VLOOKUP(Table1[[#This Row],[Product]],Products!$A$2:$B$11,2,FALSE)</f>
        <v>Floor Cheesecake</v>
      </c>
      <c r="J7" t="str">
        <f>IF(Table1[[#This Row],[Sales]]&gt;4000,"Exceeded the target",IF(AND(Table1[[#This Row],[Sales]]&lt;=4000,Table1[[#This Row],[Sales]]&lt;2500),"Did not meet the target","met the target"))</f>
        <v>met the target</v>
      </c>
      <c r="K7">
        <f>Table1[[#This Row],[Sales]]-Table1[[#This Row],[Commission]]</f>
        <v>3493.0627448994205</v>
      </c>
      <c r="L7">
        <f>Table1[[#This Row],[Sales]]+Table1[[#This Row],[Commission]]-Table1[[#This Row],[Revenue]]</f>
        <v>309.87451020115896</v>
      </c>
      <c r="M7">
        <f>Table1[[#This Row],[Revenue]]-Table1[[#This Row],[Cost]]</f>
        <v>3183.1882346982616</v>
      </c>
    </row>
    <row r="8" spans="1:13" x14ac:dyDescent="0.3">
      <c r="A8" s="1">
        <v>44651</v>
      </c>
      <c r="B8">
        <f>YEAR(Table1[[#This Row],[Date]])</f>
        <v>2022</v>
      </c>
      <c r="C8" t="s">
        <v>61</v>
      </c>
      <c r="D8" t="s">
        <v>3</v>
      </c>
      <c r="E8" t="s">
        <v>9</v>
      </c>
      <c r="F8">
        <v>2940</v>
      </c>
      <c r="G8">
        <v>177.38532969113021</v>
      </c>
      <c r="H8" t="str">
        <f>VLOOKUP(Table1[[#This Row],[Manager]],Managers!$A$2:$B$9,2,FALSE)</f>
        <v>Russ Geller</v>
      </c>
      <c r="I8" t="str">
        <f>VLOOKUP(Table1[[#This Row],[Product]],Products!$A$2:$B$11,2,FALSE)</f>
        <v>Floor Cheesecake</v>
      </c>
      <c r="J8" t="str">
        <f>IF(Table1[[#This Row],[Sales]]&gt;4000,"Exceeded the target",IF(AND(Table1[[#This Row],[Sales]]&lt;=4000,Table1[[#This Row],[Sales]]&lt;2500),"Did not meet the target","met the target"))</f>
        <v>met the target</v>
      </c>
      <c r="K8">
        <f>Table1[[#This Row],[Sales]]-Table1[[#This Row],[Commission]]</f>
        <v>2762.6146703088698</v>
      </c>
      <c r="L8">
        <f>Table1[[#This Row],[Sales]]+Table1[[#This Row],[Commission]]-Table1[[#This Row],[Revenue]]</f>
        <v>354.77065938226042</v>
      </c>
      <c r="M8">
        <f>Table1[[#This Row],[Revenue]]-Table1[[#This Row],[Cost]]</f>
        <v>2407.8440109266094</v>
      </c>
    </row>
    <row r="9" spans="1:13" x14ac:dyDescent="0.3">
      <c r="A9" s="1">
        <v>44651</v>
      </c>
      <c r="B9">
        <f>YEAR(Table1[[#This Row],[Date]])</f>
        <v>2022</v>
      </c>
      <c r="C9" t="s">
        <v>62</v>
      </c>
      <c r="D9" t="s">
        <v>3</v>
      </c>
      <c r="E9" t="s">
        <v>10</v>
      </c>
      <c r="F9">
        <v>3163</v>
      </c>
      <c r="G9">
        <v>135.3785699220586</v>
      </c>
      <c r="H9" t="str">
        <f>VLOOKUP(Table1[[#This Row],[Manager]],Managers!$A$2:$B$9,2,FALSE)</f>
        <v>Russ Geller</v>
      </c>
      <c r="I9" t="str">
        <f>VLOOKUP(Table1[[#This Row],[Product]],Products!$A$2:$B$11,2,FALSE)</f>
        <v>Mockolate</v>
      </c>
      <c r="J9" t="str">
        <f>IF(Table1[[#This Row],[Sales]]&gt;4000,"Exceeded the target",IF(AND(Table1[[#This Row],[Sales]]&lt;=4000,Table1[[#This Row],[Sales]]&lt;2500),"Did not meet the target","met the target"))</f>
        <v>met the target</v>
      </c>
      <c r="K9">
        <f>Table1[[#This Row],[Sales]]-Table1[[#This Row],[Commission]]</f>
        <v>3027.6214300779416</v>
      </c>
      <c r="L9">
        <f>Table1[[#This Row],[Sales]]+Table1[[#This Row],[Commission]]-Table1[[#This Row],[Revenue]]</f>
        <v>270.75713984411686</v>
      </c>
      <c r="M9">
        <f>Table1[[#This Row],[Revenue]]-Table1[[#This Row],[Cost]]</f>
        <v>2756.8642902338247</v>
      </c>
    </row>
    <row r="10" spans="1:13" x14ac:dyDescent="0.3">
      <c r="A10" s="1">
        <v>44651</v>
      </c>
      <c r="B10">
        <f>YEAR(Table1[[#This Row],[Date]])</f>
        <v>2022</v>
      </c>
      <c r="C10" t="s">
        <v>63</v>
      </c>
      <c r="D10" t="s">
        <v>3</v>
      </c>
      <c r="E10" t="s">
        <v>8</v>
      </c>
      <c r="F10">
        <v>3825</v>
      </c>
      <c r="G10">
        <v>117.9096029182565</v>
      </c>
      <c r="H10" t="str">
        <f>VLOOKUP(Table1[[#This Row],[Manager]],Managers!$A$2:$B$9,2,FALSE)</f>
        <v>Russ Geller</v>
      </c>
      <c r="I10" t="str">
        <f>VLOOKUP(Table1[[#This Row],[Product]],Products!$A$2:$B$11,2,FALSE)</f>
        <v>Traditional English Trifle</v>
      </c>
      <c r="J10" t="str">
        <f>IF(Table1[[#This Row],[Sales]]&gt;4000,"Exceeded the target",IF(AND(Table1[[#This Row],[Sales]]&lt;=4000,Table1[[#This Row],[Sales]]&lt;2500),"Did not meet the target","met the target"))</f>
        <v>met the target</v>
      </c>
      <c r="K10">
        <f>Table1[[#This Row],[Sales]]-Table1[[#This Row],[Commission]]</f>
        <v>3707.0903970817435</v>
      </c>
      <c r="L10">
        <f>Table1[[#This Row],[Sales]]+Table1[[#This Row],[Commission]]-Table1[[#This Row],[Revenue]]</f>
        <v>235.81920583651299</v>
      </c>
      <c r="M10">
        <f>Table1[[#This Row],[Revenue]]-Table1[[#This Row],[Cost]]</f>
        <v>3471.2711912452305</v>
      </c>
    </row>
    <row r="11" spans="1:13" x14ac:dyDescent="0.3">
      <c r="A11" s="1">
        <v>44681</v>
      </c>
      <c r="B11">
        <f>YEAR(Table1[[#This Row],[Date]])</f>
        <v>2022</v>
      </c>
      <c r="C11" t="s">
        <v>64</v>
      </c>
      <c r="D11" t="s">
        <v>3</v>
      </c>
      <c r="E11" t="s">
        <v>10</v>
      </c>
      <c r="F11">
        <v>4219</v>
      </c>
      <c r="G11">
        <v>162.56852930053631</v>
      </c>
      <c r="H11" t="str">
        <f>VLOOKUP(Table1[[#This Row],[Manager]],Managers!$A$2:$B$9,2,FALSE)</f>
        <v>Russ Geller</v>
      </c>
      <c r="I11" t="str">
        <f>VLOOKUP(Table1[[#This Row],[Product]],Products!$A$2:$B$11,2,FALSE)</f>
        <v>Mockolate</v>
      </c>
      <c r="J11" t="str">
        <f>IF(Table1[[#This Row],[Sales]]&gt;4000,"Exceeded the target",IF(AND(Table1[[#This Row],[Sales]]&lt;=4000,Table1[[#This Row],[Sales]]&lt;2500),"Did not meet the target","met the target"))</f>
        <v>Exceeded the target</v>
      </c>
      <c r="K11">
        <f>Table1[[#This Row],[Sales]]-Table1[[#This Row],[Commission]]</f>
        <v>4056.4314706994637</v>
      </c>
      <c r="L11">
        <f>Table1[[#This Row],[Sales]]+Table1[[#This Row],[Commission]]-Table1[[#This Row],[Revenue]]</f>
        <v>325.13705860107257</v>
      </c>
      <c r="M11">
        <f>Table1[[#This Row],[Revenue]]-Table1[[#This Row],[Cost]]</f>
        <v>3731.2944120983911</v>
      </c>
    </row>
    <row r="12" spans="1:13" x14ac:dyDescent="0.3">
      <c r="A12" s="1">
        <v>44681</v>
      </c>
      <c r="B12">
        <f>YEAR(Table1[[#This Row],[Date]])</f>
        <v>2022</v>
      </c>
      <c r="C12" t="s">
        <v>65</v>
      </c>
      <c r="D12" t="s">
        <v>3</v>
      </c>
      <c r="E12" t="s">
        <v>8</v>
      </c>
      <c r="F12">
        <v>1797</v>
      </c>
      <c r="G12">
        <v>106.44391539063891</v>
      </c>
      <c r="H12" t="str">
        <f>VLOOKUP(Table1[[#This Row],[Manager]],Managers!$A$2:$B$9,2,FALSE)</f>
        <v>Russ Geller</v>
      </c>
      <c r="I12" t="str">
        <f>VLOOKUP(Table1[[#This Row],[Product]],Products!$A$2:$B$11,2,FALSE)</f>
        <v>Traditional English Trifle</v>
      </c>
      <c r="J12" t="str">
        <f>IF(Table1[[#This Row],[Sales]]&gt;4000,"Exceeded the target",IF(AND(Table1[[#This Row],[Sales]]&lt;=4000,Table1[[#This Row],[Sales]]&lt;2500),"Did not meet the target","met the target"))</f>
        <v>Did not meet the target</v>
      </c>
      <c r="K12">
        <f>Table1[[#This Row],[Sales]]-Table1[[#This Row],[Commission]]</f>
        <v>1690.5560846093611</v>
      </c>
      <c r="L12">
        <f>Table1[[#This Row],[Sales]]+Table1[[#This Row],[Commission]]-Table1[[#This Row],[Revenue]]</f>
        <v>212.8878307812779</v>
      </c>
      <c r="M12">
        <f>Table1[[#This Row],[Revenue]]-Table1[[#This Row],[Cost]]</f>
        <v>1477.6682538280832</v>
      </c>
    </row>
    <row r="13" spans="1:13" x14ac:dyDescent="0.3">
      <c r="A13" s="1">
        <v>44681</v>
      </c>
      <c r="B13">
        <f>YEAR(Table1[[#This Row],[Date]])</f>
        <v>2022</v>
      </c>
      <c r="C13" t="s">
        <v>66</v>
      </c>
      <c r="D13" t="s">
        <v>3</v>
      </c>
      <c r="E13" t="s">
        <v>9</v>
      </c>
      <c r="F13">
        <v>1659</v>
      </c>
      <c r="G13">
        <v>66.621567402605919</v>
      </c>
      <c r="H13" t="str">
        <f>VLOOKUP(Table1[[#This Row],[Manager]],Managers!$A$2:$B$9,2,FALSE)</f>
        <v>Russ Geller</v>
      </c>
      <c r="I13" t="str">
        <f>VLOOKUP(Table1[[#This Row],[Product]],Products!$A$2:$B$11,2,FALSE)</f>
        <v>Floor Cheesecake</v>
      </c>
      <c r="J13" t="str">
        <f>IF(Table1[[#This Row],[Sales]]&gt;4000,"Exceeded the target",IF(AND(Table1[[#This Row],[Sales]]&lt;=4000,Table1[[#This Row],[Sales]]&lt;2500),"Did not meet the target","met the target"))</f>
        <v>Did not meet the target</v>
      </c>
      <c r="K13">
        <f>Table1[[#This Row],[Sales]]-Table1[[#This Row],[Commission]]</f>
        <v>1592.3784325973941</v>
      </c>
      <c r="L13">
        <f>Table1[[#This Row],[Sales]]+Table1[[#This Row],[Commission]]-Table1[[#This Row],[Revenue]]</f>
        <v>133.24313480521187</v>
      </c>
      <c r="M13">
        <f>Table1[[#This Row],[Revenue]]-Table1[[#This Row],[Cost]]</f>
        <v>1459.1352977921822</v>
      </c>
    </row>
    <row r="14" spans="1:13" x14ac:dyDescent="0.3">
      <c r="A14" s="1">
        <v>44712</v>
      </c>
      <c r="B14">
        <f>YEAR(Table1[[#This Row],[Date]])</f>
        <v>2022</v>
      </c>
      <c r="C14" t="s">
        <v>55</v>
      </c>
      <c r="D14" t="s">
        <v>3</v>
      </c>
      <c r="E14" t="s">
        <v>8</v>
      </c>
      <c r="F14">
        <v>3558</v>
      </c>
      <c r="G14">
        <v>208.76346982733</v>
      </c>
      <c r="H14" t="str">
        <f>VLOOKUP(Table1[[#This Row],[Manager]],Managers!$A$2:$B$9,2,FALSE)</f>
        <v>Russ Geller</v>
      </c>
      <c r="I14" t="str">
        <f>VLOOKUP(Table1[[#This Row],[Product]],Products!$A$2:$B$11,2,FALSE)</f>
        <v>Traditional English Trifle</v>
      </c>
      <c r="J14" t="str">
        <f>IF(Table1[[#This Row],[Sales]]&gt;4000,"Exceeded the target",IF(AND(Table1[[#This Row],[Sales]]&lt;=4000,Table1[[#This Row],[Sales]]&lt;2500),"Did not meet the target","met the target"))</f>
        <v>met the target</v>
      </c>
      <c r="K14">
        <f>Table1[[#This Row],[Sales]]-Table1[[#This Row],[Commission]]</f>
        <v>3349.23653017267</v>
      </c>
      <c r="L14">
        <f>Table1[[#This Row],[Sales]]+Table1[[#This Row],[Commission]]-Table1[[#This Row],[Revenue]]</f>
        <v>417.52693965466005</v>
      </c>
      <c r="M14">
        <f>Table1[[#This Row],[Revenue]]-Table1[[#This Row],[Cost]]</f>
        <v>2931.7095905180099</v>
      </c>
    </row>
    <row r="15" spans="1:13" x14ac:dyDescent="0.3">
      <c r="A15" s="1">
        <v>44712</v>
      </c>
      <c r="B15">
        <f>YEAR(Table1[[#This Row],[Date]])</f>
        <v>2022</v>
      </c>
      <c r="C15" t="s">
        <v>56</v>
      </c>
      <c r="D15" t="s">
        <v>3</v>
      </c>
      <c r="E15" t="s">
        <v>9</v>
      </c>
      <c r="F15">
        <v>4531</v>
      </c>
      <c r="G15">
        <v>207.71186053679389</v>
      </c>
      <c r="H15" t="str">
        <f>VLOOKUP(Table1[[#This Row],[Manager]],Managers!$A$2:$B$9,2,FALSE)</f>
        <v>Russ Geller</v>
      </c>
      <c r="I15" t="str">
        <f>VLOOKUP(Table1[[#This Row],[Product]],Products!$A$2:$B$11,2,FALSE)</f>
        <v>Floor Cheesecake</v>
      </c>
      <c r="J15" t="str">
        <f>IF(Table1[[#This Row],[Sales]]&gt;4000,"Exceeded the target",IF(AND(Table1[[#This Row],[Sales]]&lt;=4000,Table1[[#This Row],[Sales]]&lt;2500),"Did not meet the target","met the target"))</f>
        <v>Exceeded the target</v>
      </c>
      <c r="K15">
        <f>Table1[[#This Row],[Sales]]-Table1[[#This Row],[Commission]]</f>
        <v>4323.2881394632059</v>
      </c>
      <c r="L15">
        <f>Table1[[#This Row],[Sales]]+Table1[[#This Row],[Commission]]-Table1[[#This Row],[Revenue]]</f>
        <v>415.42372107358824</v>
      </c>
      <c r="M15">
        <f>Table1[[#This Row],[Revenue]]-Table1[[#This Row],[Cost]]</f>
        <v>3907.8644183896176</v>
      </c>
    </row>
    <row r="16" spans="1:13" x14ac:dyDescent="0.3">
      <c r="A16" s="1">
        <v>44712</v>
      </c>
      <c r="B16">
        <f>YEAR(Table1[[#This Row],[Date]])</f>
        <v>2022</v>
      </c>
      <c r="C16" t="s">
        <v>57</v>
      </c>
      <c r="D16" t="s">
        <v>3</v>
      </c>
      <c r="E16" t="s">
        <v>10</v>
      </c>
      <c r="F16">
        <v>3930</v>
      </c>
      <c r="G16">
        <v>206.7842302241576</v>
      </c>
      <c r="H16" t="str">
        <f>VLOOKUP(Table1[[#This Row],[Manager]],Managers!$A$2:$B$9,2,FALSE)</f>
        <v>Russ Geller</v>
      </c>
      <c r="I16" t="str">
        <f>VLOOKUP(Table1[[#This Row],[Product]],Products!$A$2:$B$11,2,FALSE)</f>
        <v>Mockolate</v>
      </c>
      <c r="J16" t="str">
        <f>IF(Table1[[#This Row],[Sales]]&gt;4000,"Exceeded the target",IF(AND(Table1[[#This Row],[Sales]]&lt;=4000,Table1[[#This Row],[Sales]]&lt;2500),"Did not meet the target","met the target"))</f>
        <v>met the target</v>
      </c>
      <c r="K16">
        <f>Table1[[#This Row],[Sales]]-Table1[[#This Row],[Commission]]</f>
        <v>3723.2157697758425</v>
      </c>
      <c r="L16">
        <f>Table1[[#This Row],[Sales]]+Table1[[#This Row],[Commission]]-Table1[[#This Row],[Revenue]]</f>
        <v>413.56846044831536</v>
      </c>
      <c r="M16">
        <f>Table1[[#This Row],[Revenue]]-Table1[[#This Row],[Cost]]</f>
        <v>3309.6473093275272</v>
      </c>
    </row>
    <row r="17" spans="1:13" x14ac:dyDescent="0.3">
      <c r="A17" s="1">
        <v>44742</v>
      </c>
      <c r="B17">
        <f>YEAR(Table1[[#This Row],[Date]])</f>
        <v>2022</v>
      </c>
      <c r="C17" t="s">
        <v>58</v>
      </c>
      <c r="D17" t="s">
        <v>3</v>
      </c>
      <c r="E17" t="s">
        <v>8</v>
      </c>
      <c r="F17">
        <v>3383</v>
      </c>
      <c r="G17">
        <v>141.0234033255677</v>
      </c>
      <c r="H17" t="str">
        <f>VLOOKUP(Table1[[#This Row],[Manager]],Managers!$A$2:$B$9,2,FALSE)</f>
        <v>Russ Geller</v>
      </c>
      <c r="I17" t="str">
        <f>VLOOKUP(Table1[[#This Row],[Product]],Products!$A$2:$B$11,2,FALSE)</f>
        <v>Traditional English Trifle</v>
      </c>
      <c r="J17" t="str">
        <f>IF(Table1[[#This Row],[Sales]]&gt;4000,"Exceeded the target",IF(AND(Table1[[#This Row],[Sales]]&lt;=4000,Table1[[#This Row],[Sales]]&lt;2500),"Did not meet the target","met the target"))</f>
        <v>met the target</v>
      </c>
      <c r="K17">
        <f>Table1[[#This Row],[Sales]]-Table1[[#This Row],[Commission]]</f>
        <v>3241.9765966744321</v>
      </c>
      <c r="L17">
        <f>Table1[[#This Row],[Sales]]+Table1[[#This Row],[Commission]]-Table1[[#This Row],[Revenue]]</f>
        <v>282.04680665113574</v>
      </c>
      <c r="M17">
        <f>Table1[[#This Row],[Revenue]]-Table1[[#This Row],[Cost]]</f>
        <v>2959.9297900232964</v>
      </c>
    </row>
    <row r="18" spans="1:13" x14ac:dyDescent="0.3">
      <c r="A18" s="1">
        <v>44742</v>
      </c>
      <c r="B18">
        <f>YEAR(Table1[[#This Row],[Date]])</f>
        <v>2022</v>
      </c>
      <c r="C18" t="s">
        <v>59</v>
      </c>
      <c r="D18" t="s">
        <v>3</v>
      </c>
      <c r="E18" t="s">
        <v>10</v>
      </c>
      <c r="F18">
        <v>2641</v>
      </c>
      <c r="G18">
        <v>89.825052060927192</v>
      </c>
      <c r="H18" t="str">
        <f>VLOOKUP(Table1[[#This Row],[Manager]],Managers!$A$2:$B$9,2,FALSE)</f>
        <v>Russ Geller</v>
      </c>
      <c r="I18" t="str">
        <f>VLOOKUP(Table1[[#This Row],[Product]],Products!$A$2:$B$11,2,FALSE)</f>
        <v>Mockolate</v>
      </c>
      <c r="J18" t="str">
        <f>IF(Table1[[#This Row],[Sales]]&gt;4000,"Exceeded the target",IF(AND(Table1[[#This Row],[Sales]]&lt;=4000,Table1[[#This Row],[Sales]]&lt;2500),"Did not meet the target","met the target"))</f>
        <v>met the target</v>
      </c>
      <c r="K18">
        <f>Table1[[#This Row],[Sales]]-Table1[[#This Row],[Commission]]</f>
        <v>2551.1749479390728</v>
      </c>
      <c r="L18">
        <f>Table1[[#This Row],[Sales]]+Table1[[#This Row],[Commission]]-Table1[[#This Row],[Revenue]]</f>
        <v>179.65010412185438</v>
      </c>
      <c r="M18">
        <f>Table1[[#This Row],[Revenue]]-Table1[[#This Row],[Cost]]</f>
        <v>2371.5248438172184</v>
      </c>
    </row>
    <row r="19" spans="1:13" x14ac:dyDescent="0.3">
      <c r="A19" s="1">
        <v>44742</v>
      </c>
      <c r="B19">
        <f>YEAR(Table1[[#This Row],[Date]])</f>
        <v>2022</v>
      </c>
      <c r="C19" t="s">
        <v>60</v>
      </c>
      <c r="D19" t="s">
        <v>3</v>
      </c>
      <c r="E19" t="s">
        <v>9</v>
      </c>
      <c r="F19">
        <v>1388</v>
      </c>
      <c r="G19">
        <v>55.010813860905607</v>
      </c>
      <c r="H19" t="str">
        <f>VLOOKUP(Table1[[#This Row],[Manager]],Managers!$A$2:$B$9,2,FALSE)</f>
        <v>Russ Geller</v>
      </c>
      <c r="I19" t="str">
        <f>VLOOKUP(Table1[[#This Row],[Product]],Products!$A$2:$B$11,2,FALSE)</f>
        <v>Floor Cheesecake</v>
      </c>
      <c r="J19" t="str">
        <f>IF(Table1[[#This Row],[Sales]]&gt;4000,"Exceeded the target",IF(AND(Table1[[#This Row],[Sales]]&lt;=4000,Table1[[#This Row],[Sales]]&lt;2500),"Did not meet the target","met the target"))</f>
        <v>Did not meet the target</v>
      </c>
      <c r="K19">
        <f>Table1[[#This Row],[Sales]]-Table1[[#This Row],[Commission]]</f>
        <v>1332.9891861390945</v>
      </c>
      <c r="L19">
        <f>Table1[[#This Row],[Sales]]+Table1[[#This Row],[Commission]]-Table1[[#This Row],[Revenue]]</f>
        <v>110.021627721811</v>
      </c>
      <c r="M19">
        <f>Table1[[#This Row],[Revenue]]-Table1[[#This Row],[Cost]]</f>
        <v>1222.9675584172835</v>
      </c>
    </row>
    <row r="20" spans="1:13" x14ac:dyDescent="0.3">
      <c r="A20" s="1">
        <v>44773</v>
      </c>
      <c r="B20">
        <f>YEAR(Table1[[#This Row],[Date]])</f>
        <v>2022</v>
      </c>
      <c r="C20" t="s">
        <v>61</v>
      </c>
      <c r="D20" t="s">
        <v>3</v>
      </c>
      <c r="E20" t="s">
        <v>10</v>
      </c>
      <c r="F20">
        <v>2920</v>
      </c>
      <c r="G20">
        <v>197.55291590971899</v>
      </c>
      <c r="H20" t="str">
        <f>VLOOKUP(Table1[[#This Row],[Manager]],Managers!$A$2:$B$9,2,FALSE)</f>
        <v>Russ Geller</v>
      </c>
      <c r="I20" t="str">
        <f>VLOOKUP(Table1[[#This Row],[Product]],Products!$A$2:$B$11,2,FALSE)</f>
        <v>Mockolate</v>
      </c>
      <c r="J20" t="str">
        <f>IF(Table1[[#This Row],[Sales]]&gt;4000,"Exceeded the target",IF(AND(Table1[[#This Row],[Sales]]&lt;=4000,Table1[[#This Row],[Sales]]&lt;2500),"Did not meet the target","met the target"))</f>
        <v>met the target</v>
      </c>
      <c r="K20">
        <f>Table1[[#This Row],[Sales]]-Table1[[#This Row],[Commission]]</f>
        <v>2722.4470840902809</v>
      </c>
      <c r="L20">
        <f>Table1[[#This Row],[Sales]]+Table1[[#This Row],[Commission]]-Table1[[#This Row],[Revenue]]</f>
        <v>395.10583181943821</v>
      </c>
      <c r="M20">
        <f>Table1[[#This Row],[Revenue]]-Table1[[#This Row],[Cost]]</f>
        <v>2327.3412522708427</v>
      </c>
    </row>
    <row r="21" spans="1:13" x14ac:dyDescent="0.3">
      <c r="A21" s="1">
        <v>44773</v>
      </c>
      <c r="B21">
        <f>YEAR(Table1[[#This Row],[Date]])</f>
        <v>2022</v>
      </c>
      <c r="C21" t="s">
        <v>62</v>
      </c>
      <c r="D21" t="s">
        <v>3</v>
      </c>
      <c r="E21" t="s">
        <v>8</v>
      </c>
      <c r="F21">
        <v>4154</v>
      </c>
      <c r="G21">
        <v>163.11954225445541</v>
      </c>
      <c r="H21" t="str">
        <f>VLOOKUP(Table1[[#This Row],[Manager]],Managers!$A$2:$B$9,2,FALSE)</f>
        <v>Russ Geller</v>
      </c>
      <c r="I21" t="str">
        <f>VLOOKUP(Table1[[#This Row],[Product]],Products!$A$2:$B$11,2,FALSE)</f>
        <v>Traditional English Trifle</v>
      </c>
      <c r="J21" t="str">
        <f>IF(Table1[[#This Row],[Sales]]&gt;4000,"Exceeded the target",IF(AND(Table1[[#This Row],[Sales]]&lt;=4000,Table1[[#This Row],[Sales]]&lt;2500),"Did not meet the target","met the target"))</f>
        <v>Exceeded the target</v>
      </c>
      <c r="K21">
        <f>Table1[[#This Row],[Sales]]-Table1[[#This Row],[Commission]]</f>
        <v>3990.8804577455444</v>
      </c>
      <c r="L21">
        <f>Table1[[#This Row],[Sales]]+Table1[[#This Row],[Commission]]-Table1[[#This Row],[Revenue]]</f>
        <v>326.23908450891076</v>
      </c>
      <c r="M21">
        <f>Table1[[#This Row],[Revenue]]-Table1[[#This Row],[Cost]]</f>
        <v>3664.6413732366336</v>
      </c>
    </row>
    <row r="22" spans="1:13" x14ac:dyDescent="0.3">
      <c r="A22" s="1">
        <v>44773</v>
      </c>
      <c r="B22">
        <f>YEAR(Table1[[#This Row],[Date]])</f>
        <v>2022</v>
      </c>
      <c r="C22" t="s">
        <v>63</v>
      </c>
      <c r="D22" t="s">
        <v>3</v>
      </c>
      <c r="E22" t="s">
        <v>9</v>
      </c>
      <c r="F22">
        <v>1091</v>
      </c>
      <c r="G22">
        <v>74.158273410220332</v>
      </c>
      <c r="H22" t="str">
        <f>VLOOKUP(Table1[[#This Row],[Manager]],Managers!$A$2:$B$9,2,FALSE)</f>
        <v>Russ Geller</v>
      </c>
      <c r="I22" t="str">
        <f>VLOOKUP(Table1[[#This Row],[Product]],Products!$A$2:$B$11,2,FALSE)</f>
        <v>Floor Cheesecake</v>
      </c>
      <c r="J22" t="str">
        <f>IF(Table1[[#This Row],[Sales]]&gt;4000,"Exceeded the target",IF(AND(Table1[[#This Row],[Sales]]&lt;=4000,Table1[[#This Row],[Sales]]&lt;2500),"Did not meet the target","met the target"))</f>
        <v>Did not meet the target</v>
      </c>
      <c r="K22">
        <f>Table1[[#This Row],[Sales]]-Table1[[#This Row],[Commission]]</f>
        <v>1016.8417265897797</v>
      </c>
      <c r="L22">
        <f>Table1[[#This Row],[Sales]]+Table1[[#This Row],[Commission]]-Table1[[#This Row],[Revenue]]</f>
        <v>148.31654682044064</v>
      </c>
      <c r="M22">
        <f>Table1[[#This Row],[Revenue]]-Table1[[#This Row],[Cost]]</f>
        <v>868.52517976933905</v>
      </c>
    </row>
    <row r="23" spans="1:13" x14ac:dyDescent="0.3">
      <c r="A23" s="1">
        <v>44804</v>
      </c>
      <c r="B23">
        <f>YEAR(Table1[[#This Row],[Date]])</f>
        <v>2022</v>
      </c>
      <c r="C23" t="s">
        <v>64</v>
      </c>
      <c r="D23" t="s">
        <v>3</v>
      </c>
      <c r="E23" t="s">
        <v>8</v>
      </c>
      <c r="F23">
        <v>3036</v>
      </c>
      <c r="G23">
        <v>168.73754239146101</v>
      </c>
      <c r="H23" t="str">
        <f>VLOOKUP(Table1[[#This Row],[Manager]],Managers!$A$2:$B$9,2,FALSE)</f>
        <v>Russ Geller</v>
      </c>
      <c r="I23" t="str">
        <f>VLOOKUP(Table1[[#This Row],[Product]],Products!$A$2:$B$11,2,FALSE)</f>
        <v>Traditional English Trifle</v>
      </c>
      <c r="J23" t="str">
        <f>IF(Table1[[#This Row],[Sales]]&gt;4000,"Exceeded the target",IF(AND(Table1[[#This Row],[Sales]]&lt;=4000,Table1[[#This Row],[Sales]]&lt;2500),"Did not meet the target","met the target"))</f>
        <v>met the target</v>
      </c>
      <c r="K23">
        <f>Table1[[#This Row],[Sales]]-Table1[[#This Row],[Commission]]</f>
        <v>2867.2624576085391</v>
      </c>
      <c r="L23">
        <f>Table1[[#This Row],[Sales]]+Table1[[#This Row],[Commission]]-Table1[[#This Row],[Revenue]]</f>
        <v>337.47508478292184</v>
      </c>
      <c r="M23">
        <f>Table1[[#This Row],[Revenue]]-Table1[[#This Row],[Cost]]</f>
        <v>2529.7873728256172</v>
      </c>
    </row>
    <row r="24" spans="1:13" x14ac:dyDescent="0.3">
      <c r="A24" s="1">
        <v>44804</v>
      </c>
      <c r="B24">
        <f>YEAR(Table1[[#This Row],[Date]])</f>
        <v>2022</v>
      </c>
      <c r="C24" t="s">
        <v>65</v>
      </c>
      <c r="D24" t="s">
        <v>3</v>
      </c>
      <c r="E24" t="s">
        <v>9</v>
      </c>
      <c r="F24">
        <v>2155</v>
      </c>
      <c r="G24">
        <v>96.421993048373025</v>
      </c>
      <c r="H24" t="str">
        <f>VLOOKUP(Table1[[#This Row],[Manager]],Managers!$A$2:$B$9,2,FALSE)</f>
        <v>Russ Geller</v>
      </c>
      <c r="I24" t="str">
        <f>VLOOKUP(Table1[[#This Row],[Product]],Products!$A$2:$B$11,2,FALSE)</f>
        <v>Floor Cheesecake</v>
      </c>
      <c r="J24" t="str">
        <f>IF(Table1[[#This Row],[Sales]]&gt;4000,"Exceeded the target",IF(AND(Table1[[#This Row],[Sales]]&lt;=4000,Table1[[#This Row],[Sales]]&lt;2500),"Did not meet the target","met the target"))</f>
        <v>Did not meet the target</v>
      </c>
      <c r="K24">
        <f>Table1[[#This Row],[Sales]]-Table1[[#This Row],[Commission]]</f>
        <v>2058.5780069516268</v>
      </c>
      <c r="L24">
        <f>Table1[[#This Row],[Sales]]+Table1[[#This Row],[Commission]]-Table1[[#This Row],[Revenue]]</f>
        <v>192.84398609674645</v>
      </c>
      <c r="M24">
        <f>Table1[[#This Row],[Revenue]]-Table1[[#This Row],[Cost]]</f>
        <v>1865.7340208548803</v>
      </c>
    </row>
    <row r="25" spans="1:13" x14ac:dyDescent="0.3">
      <c r="A25" s="1">
        <v>44804</v>
      </c>
      <c r="B25">
        <f>YEAR(Table1[[#This Row],[Date]])</f>
        <v>2022</v>
      </c>
      <c r="C25" t="s">
        <v>66</v>
      </c>
      <c r="D25" t="s">
        <v>3</v>
      </c>
      <c r="E25" t="s">
        <v>10</v>
      </c>
      <c r="F25">
        <v>1972</v>
      </c>
      <c r="G25">
        <v>69.958693430560032</v>
      </c>
      <c r="H25" t="str">
        <f>VLOOKUP(Table1[[#This Row],[Manager]],Managers!$A$2:$B$9,2,FALSE)</f>
        <v>Russ Geller</v>
      </c>
      <c r="I25" t="str">
        <f>VLOOKUP(Table1[[#This Row],[Product]],Products!$A$2:$B$11,2,FALSE)</f>
        <v>Mockolate</v>
      </c>
      <c r="J25" t="str">
        <f>IF(Table1[[#This Row],[Sales]]&gt;4000,"Exceeded the target",IF(AND(Table1[[#This Row],[Sales]]&lt;=4000,Table1[[#This Row],[Sales]]&lt;2500),"Did not meet the target","met the target"))</f>
        <v>Did not meet the target</v>
      </c>
      <c r="K25">
        <f>Table1[[#This Row],[Sales]]-Table1[[#This Row],[Commission]]</f>
        <v>1902.0413065694399</v>
      </c>
      <c r="L25">
        <f>Table1[[#This Row],[Sales]]+Table1[[#This Row],[Commission]]-Table1[[#This Row],[Revenue]]</f>
        <v>139.91738686112012</v>
      </c>
      <c r="M25">
        <f>Table1[[#This Row],[Revenue]]-Table1[[#This Row],[Cost]]</f>
        <v>1762.1239197083198</v>
      </c>
    </row>
    <row r="26" spans="1:13" x14ac:dyDescent="0.3">
      <c r="A26" s="1">
        <v>44834</v>
      </c>
      <c r="B26">
        <f>YEAR(Table1[[#This Row],[Date]])</f>
        <v>2022</v>
      </c>
      <c r="C26" t="s">
        <v>55</v>
      </c>
      <c r="D26" t="s">
        <v>3</v>
      </c>
      <c r="E26" t="s">
        <v>8</v>
      </c>
      <c r="F26">
        <v>2877</v>
      </c>
      <c r="G26">
        <v>133.17531400630091</v>
      </c>
      <c r="H26" t="str">
        <f>VLOOKUP(Table1[[#This Row],[Manager]],Managers!$A$2:$B$9,2,FALSE)</f>
        <v>Russ Geller</v>
      </c>
      <c r="I26" t="str">
        <f>VLOOKUP(Table1[[#This Row],[Product]],Products!$A$2:$B$11,2,FALSE)</f>
        <v>Traditional English Trifle</v>
      </c>
      <c r="J26" t="str">
        <f>IF(Table1[[#This Row],[Sales]]&gt;4000,"Exceeded the target",IF(AND(Table1[[#This Row],[Sales]]&lt;=4000,Table1[[#This Row],[Sales]]&lt;2500),"Did not meet the target","met the target"))</f>
        <v>met the target</v>
      </c>
      <c r="K26">
        <f>Table1[[#This Row],[Sales]]-Table1[[#This Row],[Commission]]</f>
        <v>2743.8246859936989</v>
      </c>
      <c r="L26">
        <f>Table1[[#This Row],[Sales]]+Table1[[#This Row],[Commission]]-Table1[[#This Row],[Revenue]]</f>
        <v>266.3506280126021</v>
      </c>
      <c r="M26">
        <f>Table1[[#This Row],[Revenue]]-Table1[[#This Row],[Cost]]</f>
        <v>2477.4740579810968</v>
      </c>
    </row>
    <row r="27" spans="1:13" x14ac:dyDescent="0.3">
      <c r="A27" s="1">
        <v>44834</v>
      </c>
      <c r="B27">
        <f>YEAR(Table1[[#This Row],[Date]])</f>
        <v>2022</v>
      </c>
      <c r="C27" t="s">
        <v>56</v>
      </c>
      <c r="D27" t="s">
        <v>3</v>
      </c>
      <c r="E27" t="s">
        <v>10</v>
      </c>
      <c r="F27">
        <v>2329</v>
      </c>
      <c r="G27">
        <v>82.212548054053698</v>
      </c>
      <c r="H27" t="str">
        <f>VLOOKUP(Table1[[#This Row],[Manager]],Managers!$A$2:$B$9,2,FALSE)</f>
        <v>Russ Geller</v>
      </c>
      <c r="I27" t="str">
        <f>VLOOKUP(Table1[[#This Row],[Product]],Products!$A$2:$B$11,2,FALSE)</f>
        <v>Mockolate</v>
      </c>
      <c r="J27" t="str">
        <f>IF(Table1[[#This Row],[Sales]]&gt;4000,"Exceeded the target",IF(AND(Table1[[#This Row],[Sales]]&lt;=4000,Table1[[#This Row],[Sales]]&lt;2500),"Did not meet the target","met the target"))</f>
        <v>Did not meet the target</v>
      </c>
      <c r="K27">
        <f>Table1[[#This Row],[Sales]]-Table1[[#This Row],[Commission]]</f>
        <v>2246.7874519459465</v>
      </c>
      <c r="L27">
        <f>Table1[[#This Row],[Sales]]+Table1[[#This Row],[Commission]]-Table1[[#This Row],[Revenue]]</f>
        <v>164.42509610810703</v>
      </c>
      <c r="M27">
        <f>Table1[[#This Row],[Revenue]]-Table1[[#This Row],[Cost]]</f>
        <v>2082.3623558378395</v>
      </c>
    </row>
    <row r="28" spans="1:13" x14ac:dyDescent="0.3">
      <c r="A28" s="1">
        <v>44834</v>
      </c>
      <c r="B28">
        <f>YEAR(Table1[[#This Row],[Date]])</f>
        <v>2022</v>
      </c>
      <c r="C28" t="s">
        <v>57</v>
      </c>
      <c r="D28" t="s">
        <v>3</v>
      </c>
      <c r="E28" t="s">
        <v>9</v>
      </c>
      <c r="F28">
        <v>1560</v>
      </c>
      <c r="G28">
        <v>61.291410471466833</v>
      </c>
      <c r="H28" t="str">
        <f>VLOOKUP(Table1[[#This Row],[Manager]],Managers!$A$2:$B$9,2,FALSE)</f>
        <v>Russ Geller</v>
      </c>
      <c r="I28" t="str">
        <f>VLOOKUP(Table1[[#This Row],[Product]],Products!$A$2:$B$11,2,FALSE)</f>
        <v>Floor Cheesecake</v>
      </c>
      <c r="J28" t="str">
        <f>IF(Table1[[#This Row],[Sales]]&gt;4000,"Exceeded the target",IF(AND(Table1[[#This Row],[Sales]]&lt;=4000,Table1[[#This Row],[Sales]]&lt;2500),"Did not meet the target","met the target"))</f>
        <v>Did not meet the target</v>
      </c>
      <c r="K28">
        <f>Table1[[#This Row],[Sales]]-Table1[[#This Row],[Commission]]</f>
        <v>1498.7085895285331</v>
      </c>
      <c r="L28">
        <f>Table1[[#This Row],[Sales]]+Table1[[#This Row],[Commission]]-Table1[[#This Row],[Revenue]]</f>
        <v>122.58282094293372</v>
      </c>
      <c r="M28">
        <f>Table1[[#This Row],[Revenue]]-Table1[[#This Row],[Cost]]</f>
        <v>1376.1257685855994</v>
      </c>
    </row>
    <row r="29" spans="1:13" x14ac:dyDescent="0.3">
      <c r="A29" s="1">
        <v>44865</v>
      </c>
      <c r="B29">
        <f>YEAR(Table1[[#This Row],[Date]])</f>
        <v>2022</v>
      </c>
      <c r="C29" t="s">
        <v>58</v>
      </c>
      <c r="D29" t="s">
        <v>3</v>
      </c>
      <c r="E29" t="s">
        <v>9</v>
      </c>
      <c r="F29">
        <v>4933</v>
      </c>
      <c r="G29">
        <v>201.33110226170319</v>
      </c>
      <c r="H29" t="str">
        <f>VLOOKUP(Table1[[#This Row],[Manager]],Managers!$A$2:$B$9,2,FALSE)</f>
        <v>Russ Geller</v>
      </c>
      <c r="I29" t="str">
        <f>VLOOKUP(Table1[[#This Row],[Product]],Products!$A$2:$B$11,2,FALSE)</f>
        <v>Floor Cheesecake</v>
      </c>
      <c r="J29" t="str">
        <f>IF(Table1[[#This Row],[Sales]]&gt;4000,"Exceeded the target",IF(AND(Table1[[#This Row],[Sales]]&lt;=4000,Table1[[#This Row],[Sales]]&lt;2500),"Did not meet the target","met the target"))</f>
        <v>Exceeded the target</v>
      </c>
      <c r="K29">
        <f>Table1[[#This Row],[Sales]]-Table1[[#This Row],[Commission]]</f>
        <v>4731.6688977382964</v>
      </c>
      <c r="L29">
        <f>Table1[[#This Row],[Sales]]+Table1[[#This Row],[Commission]]-Table1[[#This Row],[Revenue]]</f>
        <v>402.66220452340713</v>
      </c>
      <c r="M29">
        <f>Table1[[#This Row],[Revenue]]-Table1[[#This Row],[Cost]]</f>
        <v>4329.0066932148893</v>
      </c>
    </row>
    <row r="30" spans="1:13" x14ac:dyDescent="0.3">
      <c r="A30" s="1">
        <v>44865</v>
      </c>
      <c r="B30">
        <f>YEAR(Table1[[#This Row],[Date]])</f>
        <v>2022</v>
      </c>
      <c r="C30" t="s">
        <v>59</v>
      </c>
      <c r="D30" t="s">
        <v>3</v>
      </c>
      <c r="E30" t="s">
        <v>10</v>
      </c>
      <c r="F30">
        <v>3435</v>
      </c>
      <c r="G30">
        <v>121.11573662260091</v>
      </c>
      <c r="H30" t="str">
        <f>VLOOKUP(Table1[[#This Row],[Manager]],Managers!$A$2:$B$9,2,FALSE)</f>
        <v>Russ Geller</v>
      </c>
      <c r="I30" t="str">
        <f>VLOOKUP(Table1[[#This Row],[Product]],Products!$A$2:$B$11,2,FALSE)</f>
        <v>Mockolate</v>
      </c>
      <c r="J30" t="str">
        <f>IF(Table1[[#This Row],[Sales]]&gt;4000,"Exceeded the target",IF(AND(Table1[[#This Row],[Sales]]&lt;=4000,Table1[[#This Row],[Sales]]&lt;2500),"Did not meet the target","met the target"))</f>
        <v>met the target</v>
      </c>
      <c r="K30">
        <f>Table1[[#This Row],[Sales]]-Table1[[#This Row],[Commission]]</f>
        <v>3313.8842633773993</v>
      </c>
      <c r="L30">
        <f>Table1[[#This Row],[Sales]]+Table1[[#This Row],[Commission]]-Table1[[#This Row],[Revenue]]</f>
        <v>242.23147324520141</v>
      </c>
      <c r="M30">
        <f>Table1[[#This Row],[Revenue]]-Table1[[#This Row],[Cost]]</f>
        <v>3071.6527901321979</v>
      </c>
    </row>
    <row r="31" spans="1:13" x14ac:dyDescent="0.3">
      <c r="A31" s="1">
        <v>44865</v>
      </c>
      <c r="B31">
        <f>YEAR(Table1[[#This Row],[Date]])</f>
        <v>2022</v>
      </c>
      <c r="C31" t="s">
        <v>60</v>
      </c>
      <c r="D31" t="s">
        <v>3</v>
      </c>
      <c r="E31" t="s">
        <v>8</v>
      </c>
      <c r="F31">
        <v>1816</v>
      </c>
      <c r="G31">
        <v>107.2924952433509</v>
      </c>
      <c r="H31" t="str">
        <f>VLOOKUP(Table1[[#This Row],[Manager]],Managers!$A$2:$B$9,2,FALSE)</f>
        <v>Russ Geller</v>
      </c>
      <c r="I31" t="str">
        <f>VLOOKUP(Table1[[#This Row],[Product]],Products!$A$2:$B$11,2,FALSE)</f>
        <v>Traditional English Trifle</v>
      </c>
      <c r="J31" t="str">
        <f>IF(Table1[[#This Row],[Sales]]&gt;4000,"Exceeded the target",IF(AND(Table1[[#This Row],[Sales]]&lt;=4000,Table1[[#This Row],[Sales]]&lt;2500),"Did not meet the target","met the target"))</f>
        <v>Did not meet the target</v>
      </c>
      <c r="K31">
        <f>Table1[[#This Row],[Sales]]-Table1[[#This Row],[Commission]]</f>
        <v>1708.7075047566491</v>
      </c>
      <c r="L31">
        <f>Table1[[#This Row],[Sales]]+Table1[[#This Row],[Commission]]-Table1[[#This Row],[Revenue]]</f>
        <v>214.58499048670183</v>
      </c>
      <c r="M31">
        <f>Table1[[#This Row],[Revenue]]-Table1[[#This Row],[Cost]]</f>
        <v>1494.1225142699473</v>
      </c>
    </row>
    <row r="32" spans="1:13" x14ac:dyDescent="0.3">
      <c r="A32" s="1">
        <v>44895</v>
      </c>
      <c r="B32">
        <f>YEAR(Table1[[#This Row],[Date]])</f>
        <v>2022</v>
      </c>
      <c r="C32" t="s">
        <v>61</v>
      </c>
      <c r="D32" t="s">
        <v>3</v>
      </c>
      <c r="E32" t="s">
        <v>9</v>
      </c>
      <c r="F32">
        <v>4455</v>
      </c>
      <c r="G32">
        <v>272.18402752144777</v>
      </c>
      <c r="H32" t="str">
        <f>VLOOKUP(Table1[[#This Row],[Manager]],Managers!$A$2:$B$9,2,FALSE)</f>
        <v>Russ Geller</v>
      </c>
      <c r="I32" t="str">
        <f>VLOOKUP(Table1[[#This Row],[Product]],Products!$A$2:$B$11,2,FALSE)</f>
        <v>Floor Cheesecake</v>
      </c>
      <c r="J32" t="str">
        <f>IF(Table1[[#This Row],[Sales]]&gt;4000,"Exceeded the target",IF(AND(Table1[[#This Row],[Sales]]&lt;=4000,Table1[[#This Row],[Sales]]&lt;2500),"Did not meet the target","met the target"))</f>
        <v>Exceeded the target</v>
      </c>
      <c r="K32">
        <f>Table1[[#This Row],[Sales]]-Table1[[#This Row],[Commission]]</f>
        <v>4182.8159724785519</v>
      </c>
      <c r="L32">
        <f>Table1[[#This Row],[Sales]]+Table1[[#This Row],[Commission]]-Table1[[#This Row],[Revenue]]</f>
        <v>544.36805504289623</v>
      </c>
      <c r="M32">
        <f>Table1[[#This Row],[Revenue]]-Table1[[#This Row],[Cost]]</f>
        <v>3638.4479174356557</v>
      </c>
    </row>
    <row r="33" spans="1:13" x14ac:dyDescent="0.3">
      <c r="A33" s="1">
        <v>44895</v>
      </c>
      <c r="B33">
        <f>YEAR(Table1[[#This Row],[Date]])</f>
        <v>2022</v>
      </c>
      <c r="C33" t="s">
        <v>62</v>
      </c>
      <c r="D33" t="s">
        <v>3</v>
      </c>
      <c r="E33" t="s">
        <v>10</v>
      </c>
      <c r="F33">
        <v>3071</v>
      </c>
      <c r="G33">
        <v>123.9974678041834</v>
      </c>
      <c r="H33" t="str">
        <f>VLOOKUP(Table1[[#This Row],[Manager]],Managers!$A$2:$B$9,2,FALSE)</f>
        <v>Russ Geller</v>
      </c>
      <c r="I33" t="str">
        <f>VLOOKUP(Table1[[#This Row],[Product]],Products!$A$2:$B$11,2,FALSE)</f>
        <v>Mockolate</v>
      </c>
      <c r="J33" t="str">
        <f>IF(Table1[[#This Row],[Sales]]&gt;4000,"Exceeded the target",IF(AND(Table1[[#This Row],[Sales]]&lt;=4000,Table1[[#This Row],[Sales]]&lt;2500),"Did not meet the target","met the target"))</f>
        <v>met the target</v>
      </c>
      <c r="K33">
        <f>Table1[[#This Row],[Sales]]-Table1[[#This Row],[Commission]]</f>
        <v>2947.0025321958165</v>
      </c>
      <c r="L33">
        <f>Table1[[#This Row],[Sales]]+Table1[[#This Row],[Commission]]-Table1[[#This Row],[Revenue]]</f>
        <v>247.99493560836709</v>
      </c>
      <c r="M33">
        <f>Table1[[#This Row],[Revenue]]-Table1[[#This Row],[Cost]]</f>
        <v>2699.0075965874494</v>
      </c>
    </row>
    <row r="34" spans="1:13" x14ac:dyDescent="0.3">
      <c r="A34" s="1">
        <v>44895</v>
      </c>
      <c r="B34">
        <f>YEAR(Table1[[#This Row],[Date]])</f>
        <v>2022</v>
      </c>
      <c r="C34" t="s">
        <v>63</v>
      </c>
      <c r="D34" t="s">
        <v>3</v>
      </c>
      <c r="E34" t="s">
        <v>8</v>
      </c>
      <c r="F34">
        <v>1954</v>
      </c>
      <c r="G34">
        <v>119.48283214675661</v>
      </c>
      <c r="H34" t="str">
        <f>VLOOKUP(Table1[[#This Row],[Manager]],Managers!$A$2:$B$9,2,FALSE)</f>
        <v>Russ Geller</v>
      </c>
      <c r="I34" t="str">
        <f>VLOOKUP(Table1[[#This Row],[Product]],Products!$A$2:$B$11,2,FALSE)</f>
        <v>Traditional English Trifle</v>
      </c>
      <c r="J34" t="str">
        <f>IF(Table1[[#This Row],[Sales]]&gt;4000,"Exceeded the target",IF(AND(Table1[[#This Row],[Sales]]&lt;=4000,Table1[[#This Row],[Sales]]&lt;2500),"Did not meet the target","met the target"))</f>
        <v>Did not meet the target</v>
      </c>
      <c r="K34">
        <f>Table1[[#This Row],[Sales]]-Table1[[#This Row],[Commission]]</f>
        <v>1834.5171678532433</v>
      </c>
      <c r="L34">
        <f>Table1[[#This Row],[Sales]]+Table1[[#This Row],[Commission]]-Table1[[#This Row],[Revenue]]</f>
        <v>238.96566429351333</v>
      </c>
      <c r="M34">
        <f>Table1[[#This Row],[Revenue]]-Table1[[#This Row],[Cost]]</f>
        <v>1595.55150355973</v>
      </c>
    </row>
    <row r="35" spans="1:13" x14ac:dyDescent="0.3">
      <c r="A35" s="1">
        <v>44926</v>
      </c>
      <c r="B35">
        <f>YEAR(Table1[[#This Row],[Date]])</f>
        <v>2022</v>
      </c>
      <c r="C35" t="s">
        <v>64</v>
      </c>
      <c r="D35" t="s">
        <v>3</v>
      </c>
      <c r="E35" t="s">
        <v>8</v>
      </c>
      <c r="F35">
        <v>4220</v>
      </c>
      <c r="G35">
        <v>288.55234793268221</v>
      </c>
      <c r="H35" t="str">
        <f>VLOOKUP(Table1[[#This Row],[Manager]],Managers!$A$2:$B$9,2,FALSE)</f>
        <v>Russ Geller</v>
      </c>
      <c r="I35" t="str">
        <f>VLOOKUP(Table1[[#This Row],[Product]],Products!$A$2:$B$11,2,FALSE)</f>
        <v>Traditional English Trifle</v>
      </c>
      <c r="J35" t="str">
        <f>IF(Table1[[#This Row],[Sales]]&gt;4000,"Exceeded the target",IF(AND(Table1[[#This Row],[Sales]]&lt;=4000,Table1[[#This Row],[Sales]]&lt;2500),"Did not meet the target","met the target"))</f>
        <v>Exceeded the target</v>
      </c>
      <c r="K35">
        <f>Table1[[#This Row],[Sales]]-Table1[[#This Row],[Commission]]</f>
        <v>3931.4476520673179</v>
      </c>
      <c r="L35">
        <f>Table1[[#This Row],[Sales]]+Table1[[#This Row],[Commission]]-Table1[[#This Row],[Revenue]]</f>
        <v>577.10469586536419</v>
      </c>
      <c r="M35">
        <f>Table1[[#This Row],[Revenue]]-Table1[[#This Row],[Cost]]</f>
        <v>3354.3429562019537</v>
      </c>
    </row>
    <row r="36" spans="1:13" x14ac:dyDescent="0.3">
      <c r="A36" s="1">
        <v>44926</v>
      </c>
      <c r="B36">
        <f>YEAR(Table1[[#This Row],[Date]])</f>
        <v>2022</v>
      </c>
      <c r="C36" t="s">
        <v>65</v>
      </c>
      <c r="D36" t="s">
        <v>3</v>
      </c>
      <c r="E36" t="s">
        <v>10</v>
      </c>
      <c r="F36">
        <v>3610</v>
      </c>
      <c r="G36">
        <v>113.40633572309289</v>
      </c>
      <c r="H36" t="str">
        <f>VLOOKUP(Table1[[#This Row],[Manager]],Managers!$A$2:$B$9,2,FALSE)</f>
        <v>Russ Geller</v>
      </c>
      <c r="I36" t="str">
        <f>VLOOKUP(Table1[[#This Row],[Product]],Products!$A$2:$B$11,2,FALSE)</f>
        <v>Mockolate</v>
      </c>
      <c r="J36" t="str">
        <f>IF(Table1[[#This Row],[Sales]]&gt;4000,"Exceeded the target",IF(AND(Table1[[#This Row],[Sales]]&lt;=4000,Table1[[#This Row],[Sales]]&lt;2500),"Did not meet the target","met the target"))</f>
        <v>met the target</v>
      </c>
      <c r="K36">
        <f>Table1[[#This Row],[Sales]]-Table1[[#This Row],[Commission]]</f>
        <v>3496.593664276907</v>
      </c>
      <c r="L36">
        <f>Table1[[#This Row],[Sales]]+Table1[[#This Row],[Commission]]-Table1[[#This Row],[Revenue]]</f>
        <v>226.81267144618596</v>
      </c>
      <c r="M36">
        <f>Table1[[#This Row],[Revenue]]-Table1[[#This Row],[Cost]]</f>
        <v>3269.7809928307211</v>
      </c>
    </row>
    <row r="37" spans="1:13" x14ac:dyDescent="0.3">
      <c r="A37" s="1">
        <v>44926</v>
      </c>
      <c r="B37">
        <f>YEAR(Table1[[#This Row],[Date]])</f>
        <v>2022</v>
      </c>
      <c r="C37" t="s">
        <v>66</v>
      </c>
      <c r="D37" t="s">
        <v>3</v>
      </c>
      <c r="E37" t="s">
        <v>9</v>
      </c>
      <c r="F37">
        <v>1209</v>
      </c>
      <c r="G37">
        <v>67.489777021892351</v>
      </c>
      <c r="H37" t="str">
        <f>VLOOKUP(Table1[[#This Row],[Manager]],Managers!$A$2:$B$9,2,FALSE)</f>
        <v>Russ Geller</v>
      </c>
      <c r="I37" t="str">
        <f>VLOOKUP(Table1[[#This Row],[Product]],Products!$A$2:$B$11,2,FALSE)</f>
        <v>Floor Cheesecake</v>
      </c>
      <c r="J37" t="str">
        <f>IF(Table1[[#This Row],[Sales]]&gt;4000,"Exceeded the target",IF(AND(Table1[[#This Row],[Sales]]&lt;=4000,Table1[[#This Row],[Sales]]&lt;2500),"Did not meet the target","met the target"))</f>
        <v>Did not meet the target</v>
      </c>
      <c r="K37">
        <f>Table1[[#This Row],[Sales]]-Table1[[#This Row],[Commission]]</f>
        <v>1141.5102229781075</v>
      </c>
      <c r="L37">
        <f>Table1[[#This Row],[Sales]]+Table1[[#This Row],[Commission]]-Table1[[#This Row],[Revenue]]</f>
        <v>134.9795540437849</v>
      </c>
      <c r="M37">
        <f>Table1[[#This Row],[Revenue]]-Table1[[#This Row],[Cost]]</f>
        <v>1006.5306689343226</v>
      </c>
    </row>
    <row r="38" spans="1:13" x14ac:dyDescent="0.3">
      <c r="A38" s="1">
        <v>44592</v>
      </c>
      <c r="B38">
        <f>YEAR(Table1[[#This Row],[Date]])</f>
        <v>2022</v>
      </c>
      <c r="C38" t="s">
        <v>55</v>
      </c>
      <c r="D38" t="s">
        <v>4</v>
      </c>
      <c r="E38" t="s">
        <v>8</v>
      </c>
      <c r="F38">
        <v>4264</v>
      </c>
      <c r="G38">
        <v>228.53504556703561</v>
      </c>
      <c r="H38" t="str">
        <f>VLOOKUP(Table1[[#This Row],[Manager]],Managers!$A$2:$B$9,2,FALSE)</f>
        <v>Monique Bingette</v>
      </c>
      <c r="I38" t="str">
        <f>VLOOKUP(Table1[[#This Row],[Product]],Products!$A$2:$B$11,2,FALSE)</f>
        <v>Traditional English Trifle</v>
      </c>
      <c r="J38" t="str">
        <f>IF(Table1[[#This Row],[Sales]]&gt;4000,"Exceeded the target",IF(AND(Table1[[#This Row],[Sales]]&lt;=4000,Table1[[#This Row],[Sales]]&lt;2500),"Did not meet the target","met the target"))</f>
        <v>Exceeded the target</v>
      </c>
      <c r="K38">
        <f>Table1[[#This Row],[Sales]]-Table1[[#This Row],[Commission]]</f>
        <v>4035.4649544329645</v>
      </c>
      <c r="L38">
        <f>Table1[[#This Row],[Sales]]+Table1[[#This Row],[Commission]]-Table1[[#This Row],[Revenue]]</f>
        <v>457.07009113407139</v>
      </c>
      <c r="M38">
        <f>Table1[[#This Row],[Revenue]]-Table1[[#This Row],[Cost]]</f>
        <v>3578.3948632988931</v>
      </c>
    </row>
    <row r="39" spans="1:13" x14ac:dyDescent="0.3">
      <c r="A39" s="1">
        <v>44592</v>
      </c>
      <c r="B39">
        <f>YEAR(Table1[[#This Row],[Date]])</f>
        <v>2022</v>
      </c>
      <c r="C39" t="s">
        <v>56</v>
      </c>
      <c r="D39" t="s">
        <v>4</v>
      </c>
      <c r="E39" t="s">
        <v>9</v>
      </c>
      <c r="F39">
        <v>1835</v>
      </c>
      <c r="G39">
        <v>108.64095696653089</v>
      </c>
      <c r="H39" t="str">
        <f>VLOOKUP(Table1[[#This Row],[Manager]],Managers!$A$2:$B$9,2,FALSE)</f>
        <v>Monique Bingette</v>
      </c>
      <c r="I39" t="str">
        <f>VLOOKUP(Table1[[#This Row],[Product]],Products!$A$2:$B$11,2,FALSE)</f>
        <v>Floor Cheesecake</v>
      </c>
      <c r="J39" t="str">
        <f>IF(Table1[[#This Row],[Sales]]&gt;4000,"Exceeded the target",IF(AND(Table1[[#This Row],[Sales]]&lt;=4000,Table1[[#This Row],[Sales]]&lt;2500),"Did not meet the target","met the target"))</f>
        <v>Did not meet the target</v>
      </c>
      <c r="K39">
        <f>Table1[[#This Row],[Sales]]-Table1[[#This Row],[Commission]]</f>
        <v>1726.3590430334691</v>
      </c>
      <c r="L39">
        <f>Table1[[#This Row],[Sales]]+Table1[[#This Row],[Commission]]-Table1[[#This Row],[Revenue]]</f>
        <v>217.28191393306179</v>
      </c>
      <c r="M39">
        <f>Table1[[#This Row],[Revenue]]-Table1[[#This Row],[Cost]]</f>
        <v>1509.0771291004073</v>
      </c>
    </row>
    <row r="40" spans="1:13" x14ac:dyDescent="0.3">
      <c r="A40" s="1">
        <v>44592</v>
      </c>
      <c r="B40">
        <f>YEAR(Table1[[#This Row],[Date]])</f>
        <v>2022</v>
      </c>
      <c r="C40" t="s">
        <v>57</v>
      </c>
      <c r="D40" t="s">
        <v>4</v>
      </c>
      <c r="E40" t="s">
        <v>10</v>
      </c>
      <c r="F40">
        <v>1763</v>
      </c>
      <c r="G40">
        <v>74.888361081221518</v>
      </c>
      <c r="H40" t="str">
        <f>VLOOKUP(Table1[[#This Row],[Manager]],Managers!$A$2:$B$9,2,FALSE)</f>
        <v>Monique Bingette</v>
      </c>
      <c r="I40" t="str">
        <f>VLOOKUP(Table1[[#This Row],[Product]],Products!$A$2:$B$11,2,FALSE)</f>
        <v>Mockolate</v>
      </c>
      <c r="J40" t="str">
        <f>IF(Table1[[#This Row],[Sales]]&gt;4000,"Exceeded the target",IF(AND(Table1[[#This Row],[Sales]]&lt;=4000,Table1[[#This Row],[Sales]]&lt;2500),"Did not meet the target","met the target"))</f>
        <v>Did not meet the target</v>
      </c>
      <c r="K40">
        <f>Table1[[#This Row],[Sales]]-Table1[[#This Row],[Commission]]</f>
        <v>1688.1116389187785</v>
      </c>
      <c r="L40">
        <f>Table1[[#This Row],[Sales]]+Table1[[#This Row],[Commission]]-Table1[[#This Row],[Revenue]]</f>
        <v>149.77672216244309</v>
      </c>
      <c r="M40">
        <f>Table1[[#This Row],[Revenue]]-Table1[[#This Row],[Cost]]</f>
        <v>1538.3349167563354</v>
      </c>
    </row>
    <row r="41" spans="1:13" x14ac:dyDescent="0.3">
      <c r="A41" s="1">
        <v>44620</v>
      </c>
      <c r="B41">
        <f>YEAR(Table1[[#This Row],[Date]])</f>
        <v>2022</v>
      </c>
      <c r="C41" t="s">
        <v>58</v>
      </c>
      <c r="D41" t="s">
        <v>4</v>
      </c>
      <c r="E41" t="s">
        <v>8</v>
      </c>
      <c r="F41">
        <v>3362</v>
      </c>
      <c r="G41">
        <v>151.66006734805279</v>
      </c>
      <c r="H41" t="str">
        <f>VLOOKUP(Table1[[#This Row],[Manager]],Managers!$A$2:$B$9,2,FALSE)</f>
        <v>Monique Bingette</v>
      </c>
      <c r="I41" t="str">
        <f>VLOOKUP(Table1[[#This Row],[Product]],Products!$A$2:$B$11,2,FALSE)</f>
        <v>Traditional English Trifle</v>
      </c>
      <c r="J41" t="str">
        <f>IF(Table1[[#This Row],[Sales]]&gt;4000,"Exceeded the target",IF(AND(Table1[[#This Row],[Sales]]&lt;=4000,Table1[[#This Row],[Sales]]&lt;2500),"Did not meet the target","met the target"))</f>
        <v>met the target</v>
      </c>
      <c r="K41">
        <f>Table1[[#This Row],[Sales]]-Table1[[#This Row],[Commission]]</f>
        <v>3210.339932651947</v>
      </c>
      <c r="L41">
        <f>Table1[[#This Row],[Sales]]+Table1[[#This Row],[Commission]]-Table1[[#This Row],[Revenue]]</f>
        <v>303.32013469610592</v>
      </c>
      <c r="M41">
        <f>Table1[[#This Row],[Revenue]]-Table1[[#This Row],[Cost]]</f>
        <v>2907.0197979558411</v>
      </c>
    </row>
    <row r="42" spans="1:13" x14ac:dyDescent="0.3">
      <c r="A42" s="1">
        <v>44620</v>
      </c>
      <c r="B42">
        <f>YEAR(Table1[[#This Row],[Date]])</f>
        <v>2022</v>
      </c>
      <c r="C42" t="s">
        <v>59</v>
      </c>
      <c r="D42" t="s">
        <v>4</v>
      </c>
      <c r="E42" t="s">
        <v>10</v>
      </c>
      <c r="F42">
        <v>4558</v>
      </c>
      <c r="G42">
        <v>141.23942576030751</v>
      </c>
      <c r="H42" t="str">
        <f>VLOOKUP(Table1[[#This Row],[Manager]],Managers!$A$2:$B$9,2,FALSE)</f>
        <v>Monique Bingette</v>
      </c>
      <c r="I42" t="str">
        <f>VLOOKUP(Table1[[#This Row],[Product]],Products!$A$2:$B$11,2,FALSE)</f>
        <v>Mockolate</v>
      </c>
      <c r="J42" t="str">
        <f>IF(Table1[[#This Row],[Sales]]&gt;4000,"Exceeded the target",IF(AND(Table1[[#This Row],[Sales]]&lt;=4000,Table1[[#This Row],[Sales]]&lt;2500),"Did not meet the target","met the target"))</f>
        <v>Exceeded the target</v>
      </c>
      <c r="K42">
        <f>Table1[[#This Row],[Sales]]-Table1[[#This Row],[Commission]]</f>
        <v>4416.7605742396927</v>
      </c>
      <c r="L42">
        <f>Table1[[#This Row],[Sales]]+Table1[[#This Row],[Commission]]-Table1[[#This Row],[Revenue]]</f>
        <v>282.47885152061463</v>
      </c>
      <c r="M42">
        <f>Table1[[#This Row],[Revenue]]-Table1[[#This Row],[Cost]]</f>
        <v>4134.2817227190781</v>
      </c>
    </row>
    <row r="43" spans="1:13" x14ac:dyDescent="0.3">
      <c r="A43" s="1">
        <v>44620</v>
      </c>
      <c r="B43">
        <f>YEAR(Table1[[#This Row],[Date]])</f>
        <v>2022</v>
      </c>
      <c r="C43" t="s">
        <v>60</v>
      </c>
      <c r="D43" t="s">
        <v>4</v>
      </c>
      <c r="E43" t="s">
        <v>9</v>
      </c>
      <c r="F43">
        <v>1705</v>
      </c>
      <c r="G43">
        <v>63.398970809567103</v>
      </c>
      <c r="H43" t="str">
        <f>VLOOKUP(Table1[[#This Row],[Manager]],Managers!$A$2:$B$9,2,FALSE)</f>
        <v>Monique Bingette</v>
      </c>
      <c r="I43" t="str">
        <f>VLOOKUP(Table1[[#This Row],[Product]],Products!$A$2:$B$11,2,FALSE)</f>
        <v>Floor Cheesecake</v>
      </c>
      <c r="J43" t="str">
        <f>IF(Table1[[#This Row],[Sales]]&gt;4000,"Exceeded the target",IF(AND(Table1[[#This Row],[Sales]]&lt;=4000,Table1[[#This Row],[Sales]]&lt;2500),"Did not meet the target","met the target"))</f>
        <v>Did not meet the target</v>
      </c>
      <c r="K43">
        <f>Table1[[#This Row],[Sales]]-Table1[[#This Row],[Commission]]</f>
        <v>1641.6010291904329</v>
      </c>
      <c r="L43">
        <f>Table1[[#This Row],[Sales]]+Table1[[#This Row],[Commission]]-Table1[[#This Row],[Revenue]]</f>
        <v>126.79794161913424</v>
      </c>
      <c r="M43">
        <f>Table1[[#This Row],[Revenue]]-Table1[[#This Row],[Cost]]</f>
        <v>1514.8030875712986</v>
      </c>
    </row>
    <row r="44" spans="1:13" x14ac:dyDescent="0.3">
      <c r="A44" s="1">
        <v>44651</v>
      </c>
      <c r="B44">
        <f>YEAR(Table1[[#This Row],[Date]])</f>
        <v>2022</v>
      </c>
      <c r="C44" t="s">
        <v>61</v>
      </c>
      <c r="D44" t="s">
        <v>4</v>
      </c>
      <c r="E44" t="s">
        <v>10</v>
      </c>
      <c r="F44">
        <v>4781</v>
      </c>
      <c r="G44">
        <v>302.35970657936912</v>
      </c>
      <c r="H44" t="str">
        <f>VLOOKUP(Table1[[#This Row],[Manager]],Managers!$A$2:$B$9,2,FALSE)</f>
        <v>Monique Bingette</v>
      </c>
      <c r="I44" t="str">
        <f>VLOOKUP(Table1[[#This Row],[Product]],Products!$A$2:$B$11,2,FALSE)</f>
        <v>Mockolate</v>
      </c>
      <c r="J44" t="str">
        <f>IF(Table1[[#This Row],[Sales]]&gt;4000,"Exceeded the target",IF(AND(Table1[[#This Row],[Sales]]&lt;=4000,Table1[[#This Row],[Sales]]&lt;2500),"Did not meet the target","met the target"))</f>
        <v>Exceeded the target</v>
      </c>
      <c r="K44">
        <f>Table1[[#This Row],[Sales]]-Table1[[#This Row],[Commission]]</f>
        <v>4478.6402934206308</v>
      </c>
      <c r="L44">
        <f>Table1[[#This Row],[Sales]]+Table1[[#This Row],[Commission]]-Table1[[#This Row],[Revenue]]</f>
        <v>604.71941315873846</v>
      </c>
      <c r="M44">
        <f>Table1[[#This Row],[Revenue]]-Table1[[#This Row],[Cost]]</f>
        <v>3873.9208802618923</v>
      </c>
    </row>
    <row r="45" spans="1:13" x14ac:dyDescent="0.3">
      <c r="A45" s="1">
        <v>44651</v>
      </c>
      <c r="B45">
        <f>YEAR(Table1[[#This Row],[Date]])</f>
        <v>2022</v>
      </c>
      <c r="C45" t="s">
        <v>62</v>
      </c>
      <c r="D45" t="s">
        <v>4</v>
      </c>
      <c r="E45" t="s">
        <v>9</v>
      </c>
      <c r="F45">
        <v>1755</v>
      </c>
      <c r="G45">
        <v>93.949861371463115</v>
      </c>
      <c r="H45" t="str">
        <f>VLOOKUP(Table1[[#This Row],[Manager]],Managers!$A$2:$B$9,2,FALSE)</f>
        <v>Monique Bingette</v>
      </c>
      <c r="I45" t="str">
        <f>VLOOKUP(Table1[[#This Row],[Product]],Products!$A$2:$B$11,2,FALSE)</f>
        <v>Floor Cheesecake</v>
      </c>
      <c r="J45" t="str">
        <f>IF(Table1[[#This Row],[Sales]]&gt;4000,"Exceeded the target",IF(AND(Table1[[#This Row],[Sales]]&lt;=4000,Table1[[#This Row],[Sales]]&lt;2500),"Did not meet the target","met the target"))</f>
        <v>Did not meet the target</v>
      </c>
      <c r="K45">
        <f>Table1[[#This Row],[Sales]]-Table1[[#This Row],[Commission]]</f>
        <v>1661.0501386285368</v>
      </c>
      <c r="L45">
        <f>Table1[[#This Row],[Sales]]+Table1[[#This Row],[Commission]]-Table1[[#This Row],[Revenue]]</f>
        <v>187.89972274292631</v>
      </c>
      <c r="M45">
        <f>Table1[[#This Row],[Revenue]]-Table1[[#This Row],[Cost]]</f>
        <v>1473.1504158856105</v>
      </c>
    </row>
    <row r="46" spans="1:13" x14ac:dyDescent="0.3">
      <c r="A46" s="1">
        <v>44651</v>
      </c>
      <c r="B46">
        <f>YEAR(Table1[[#This Row],[Date]])</f>
        <v>2022</v>
      </c>
      <c r="C46" t="s">
        <v>63</v>
      </c>
      <c r="D46" t="s">
        <v>4</v>
      </c>
      <c r="E46" t="s">
        <v>8</v>
      </c>
      <c r="F46">
        <v>1976</v>
      </c>
      <c r="G46">
        <v>89.58898619534682</v>
      </c>
      <c r="H46" t="str">
        <f>VLOOKUP(Table1[[#This Row],[Manager]],Managers!$A$2:$B$9,2,FALSE)</f>
        <v>Monique Bingette</v>
      </c>
      <c r="I46" t="str">
        <f>VLOOKUP(Table1[[#This Row],[Product]],Products!$A$2:$B$11,2,FALSE)</f>
        <v>Traditional English Trifle</v>
      </c>
      <c r="J46" t="str">
        <f>IF(Table1[[#This Row],[Sales]]&gt;4000,"Exceeded the target",IF(AND(Table1[[#This Row],[Sales]]&lt;=4000,Table1[[#This Row],[Sales]]&lt;2500),"Did not meet the target","met the target"))</f>
        <v>Did not meet the target</v>
      </c>
      <c r="K46">
        <f>Table1[[#This Row],[Sales]]-Table1[[#This Row],[Commission]]</f>
        <v>1886.4110138046531</v>
      </c>
      <c r="L46">
        <f>Table1[[#This Row],[Sales]]+Table1[[#This Row],[Commission]]-Table1[[#This Row],[Revenue]]</f>
        <v>179.17797239069387</v>
      </c>
      <c r="M46">
        <f>Table1[[#This Row],[Revenue]]-Table1[[#This Row],[Cost]]</f>
        <v>1707.2330414139592</v>
      </c>
    </row>
    <row r="47" spans="1:13" x14ac:dyDescent="0.3">
      <c r="A47" s="1">
        <v>44681</v>
      </c>
      <c r="B47">
        <f>YEAR(Table1[[#This Row],[Date]])</f>
        <v>2022</v>
      </c>
      <c r="C47" t="s">
        <v>64</v>
      </c>
      <c r="D47" t="s">
        <v>4</v>
      </c>
      <c r="E47" t="s">
        <v>8</v>
      </c>
      <c r="F47">
        <v>3958</v>
      </c>
      <c r="G47">
        <v>200.7815370295026</v>
      </c>
      <c r="H47" t="str">
        <f>VLOOKUP(Table1[[#This Row],[Manager]],Managers!$A$2:$B$9,2,FALSE)</f>
        <v>Monique Bingette</v>
      </c>
      <c r="I47" t="str">
        <f>VLOOKUP(Table1[[#This Row],[Product]],Products!$A$2:$B$11,2,FALSE)</f>
        <v>Traditional English Trifle</v>
      </c>
      <c r="J47" t="str">
        <f>IF(Table1[[#This Row],[Sales]]&gt;4000,"Exceeded the target",IF(AND(Table1[[#This Row],[Sales]]&lt;=4000,Table1[[#This Row],[Sales]]&lt;2500),"Did not meet the target","met the target"))</f>
        <v>met the target</v>
      </c>
      <c r="K47">
        <f>Table1[[#This Row],[Sales]]-Table1[[#This Row],[Commission]]</f>
        <v>3757.2184629704975</v>
      </c>
      <c r="L47">
        <f>Table1[[#This Row],[Sales]]+Table1[[#This Row],[Commission]]-Table1[[#This Row],[Revenue]]</f>
        <v>401.56307405900543</v>
      </c>
      <c r="M47">
        <f>Table1[[#This Row],[Revenue]]-Table1[[#This Row],[Cost]]</f>
        <v>3355.6553889114921</v>
      </c>
    </row>
    <row r="48" spans="1:13" x14ac:dyDescent="0.3">
      <c r="A48" s="1">
        <v>44681</v>
      </c>
      <c r="B48">
        <f>YEAR(Table1[[#This Row],[Date]])</f>
        <v>2022</v>
      </c>
      <c r="C48" t="s">
        <v>65</v>
      </c>
      <c r="D48" t="s">
        <v>4</v>
      </c>
      <c r="E48" t="s">
        <v>10</v>
      </c>
      <c r="F48">
        <v>4360</v>
      </c>
      <c r="G48">
        <v>166.98278115692949</v>
      </c>
      <c r="H48" t="str">
        <f>VLOOKUP(Table1[[#This Row],[Manager]],Managers!$A$2:$B$9,2,FALSE)</f>
        <v>Monique Bingette</v>
      </c>
      <c r="I48" t="str">
        <f>VLOOKUP(Table1[[#This Row],[Product]],Products!$A$2:$B$11,2,FALSE)</f>
        <v>Mockolate</v>
      </c>
      <c r="J48" t="str">
        <f>IF(Table1[[#This Row],[Sales]]&gt;4000,"Exceeded the target",IF(AND(Table1[[#This Row],[Sales]]&lt;=4000,Table1[[#This Row],[Sales]]&lt;2500),"Did not meet the target","met the target"))</f>
        <v>Exceeded the target</v>
      </c>
      <c r="K48">
        <f>Table1[[#This Row],[Sales]]-Table1[[#This Row],[Commission]]</f>
        <v>4193.0172188430706</v>
      </c>
      <c r="L48">
        <f>Table1[[#This Row],[Sales]]+Table1[[#This Row],[Commission]]-Table1[[#This Row],[Revenue]]</f>
        <v>333.96556231385875</v>
      </c>
      <c r="M48">
        <f>Table1[[#This Row],[Revenue]]-Table1[[#This Row],[Cost]]</f>
        <v>3859.0516565292119</v>
      </c>
    </row>
    <row r="49" spans="1:13" x14ac:dyDescent="0.3">
      <c r="A49" s="1">
        <v>44681</v>
      </c>
      <c r="B49">
        <f>YEAR(Table1[[#This Row],[Date]])</f>
        <v>2022</v>
      </c>
      <c r="C49" t="s">
        <v>66</v>
      </c>
      <c r="D49" t="s">
        <v>4</v>
      </c>
      <c r="E49" t="s">
        <v>9</v>
      </c>
      <c r="F49">
        <v>1423</v>
      </c>
      <c r="G49">
        <v>44.150721911663943</v>
      </c>
      <c r="H49" t="str">
        <f>VLOOKUP(Table1[[#This Row],[Manager]],Managers!$A$2:$B$9,2,FALSE)</f>
        <v>Monique Bingette</v>
      </c>
      <c r="I49" t="str">
        <f>VLOOKUP(Table1[[#This Row],[Product]],Products!$A$2:$B$11,2,FALSE)</f>
        <v>Floor Cheesecake</v>
      </c>
      <c r="J49" t="str">
        <f>IF(Table1[[#This Row],[Sales]]&gt;4000,"Exceeded the target",IF(AND(Table1[[#This Row],[Sales]]&lt;=4000,Table1[[#This Row],[Sales]]&lt;2500),"Did not meet the target","met the target"))</f>
        <v>Did not meet the target</v>
      </c>
      <c r="K49">
        <f>Table1[[#This Row],[Sales]]-Table1[[#This Row],[Commission]]</f>
        <v>1378.849278088336</v>
      </c>
      <c r="L49">
        <f>Table1[[#This Row],[Sales]]+Table1[[#This Row],[Commission]]-Table1[[#This Row],[Revenue]]</f>
        <v>88.3014438233281</v>
      </c>
      <c r="M49">
        <f>Table1[[#This Row],[Revenue]]-Table1[[#This Row],[Cost]]</f>
        <v>1290.5478342650079</v>
      </c>
    </row>
    <row r="50" spans="1:13" x14ac:dyDescent="0.3">
      <c r="A50" s="1">
        <v>44712</v>
      </c>
      <c r="B50">
        <f>YEAR(Table1[[#This Row],[Date]])</f>
        <v>2022</v>
      </c>
      <c r="C50" t="s">
        <v>55</v>
      </c>
      <c r="D50" t="s">
        <v>4</v>
      </c>
      <c r="E50" t="s">
        <v>9</v>
      </c>
      <c r="F50">
        <v>3076</v>
      </c>
      <c r="G50">
        <v>110.10206830960909</v>
      </c>
      <c r="H50" t="str">
        <f>VLOOKUP(Table1[[#This Row],[Manager]],Managers!$A$2:$B$9,2,FALSE)</f>
        <v>Monique Bingette</v>
      </c>
      <c r="I50" t="str">
        <f>VLOOKUP(Table1[[#This Row],[Product]],Products!$A$2:$B$11,2,FALSE)</f>
        <v>Floor Cheesecake</v>
      </c>
      <c r="J50" t="str">
        <f>IF(Table1[[#This Row],[Sales]]&gt;4000,"Exceeded the target",IF(AND(Table1[[#This Row],[Sales]]&lt;=4000,Table1[[#This Row],[Sales]]&lt;2500),"Did not meet the target","met the target"))</f>
        <v>met the target</v>
      </c>
      <c r="K50">
        <f>Table1[[#This Row],[Sales]]-Table1[[#This Row],[Commission]]</f>
        <v>2965.897931690391</v>
      </c>
      <c r="L50">
        <f>Table1[[#This Row],[Sales]]+Table1[[#This Row],[Commission]]-Table1[[#This Row],[Revenue]]</f>
        <v>220.20413661921793</v>
      </c>
      <c r="M50">
        <f>Table1[[#This Row],[Revenue]]-Table1[[#This Row],[Cost]]</f>
        <v>2745.6937950711731</v>
      </c>
    </row>
    <row r="51" spans="1:13" x14ac:dyDescent="0.3">
      <c r="A51" s="1">
        <v>44712</v>
      </c>
      <c r="B51">
        <f>YEAR(Table1[[#This Row],[Date]])</f>
        <v>2022</v>
      </c>
      <c r="C51" t="s">
        <v>56</v>
      </c>
      <c r="D51" t="s">
        <v>4</v>
      </c>
      <c r="E51" t="s">
        <v>10</v>
      </c>
      <c r="F51">
        <v>1802</v>
      </c>
      <c r="G51">
        <v>89.23909670917665</v>
      </c>
      <c r="H51" t="str">
        <f>VLOOKUP(Table1[[#This Row],[Manager]],Managers!$A$2:$B$9,2,FALSE)</f>
        <v>Monique Bingette</v>
      </c>
      <c r="I51" t="str">
        <f>VLOOKUP(Table1[[#This Row],[Product]],Products!$A$2:$B$11,2,FALSE)</f>
        <v>Mockolate</v>
      </c>
      <c r="J51" t="str">
        <f>IF(Table1[[#This Row],[Sales]]&gt;4000,"Exceeded the target",IF(AND(Table1[[#This Row],[Sales]]&lt;=4000,Table1[[#This Row],[Sales]]&lt;2500),"Did not meet the target","met the target"))</f>
        <v>Did not meet the target</v>
      </c>
      <c r="K51">
        <f>Table1[[#This Row],[Sales]]-Table1[[#This Row],[Commission]]</f>
        <v>1712.7609032908233</v>
      </c>
      <c r="L51">
        <f>Table1[[#This Row],[Sales]]+Table1[[#This Row],[Commission]]-Table1[[#This Row],[Revenue]]</f>
        <v>178.47819341835338</v>
      </c>
      <c r="M51">
        <f>Table1[[#This Row],[Revenue]]-Table1[[#This Row],[Cost]]</f>
        <v>1534.2827098724699</v>
      </c>
    </row>
    <row r="52" spans="1:13" x14ac:dyDescent="0.3">
      <c r="A52" s="1">
        <v>44712</v>
      </c>
      <c r="B52">
        <f>YEAR(Table1[[#This Row],[Date]])</f>
        <v>2022</v>
      </c>
      <c r="C52" t="s">
        <v>57</v>
      </c>
      <c r="D52" t="s">
        <v>4</v>
      </c>
      <c r="E52" t="s">
        <v>8</v>
      </c>
      <c r="F52">
        <v>2207</v>
      </c>
      <c r="G52">
        <v>82.389943940978853</v>
      </c>
      <c r="H52" t="str">
        <f>VLOOKUP(Table1[[#This Row],[Manager]],Managers!$A$2:$B$9,2,FALSE)</f>
        <v>Monique Bingette</v>
      </c>
      <c r="I52" t="str">
        <f>VLOOKUP(Table1[[#This Row],[Product]],Products!$A$2:$B$11,2,FALSE)</f>
        <v>Traditional English Trifle</v>
      </c>
      <c r="J52" t="str">
        <f>IF(Table1[[#This Row],[Sales]]&gt;4000,"Exceeded the target",IF(AND(Table1[[#This Row],[Sales]]&lt;=4000,Table1[[#This Row],[Sales]]&lt;2500),"Did not meet the target","met the target"))</f>
        <v>Did not meet the target</v>
      </c>
      <c r="K52">
        <f>Table1[[#This Row],[Sales]]-Table1[[#This Row],[Commission]]</f>
        <v>2124.6100560590212</v>
      </c>
      <c r="L52">
        <f>Table1[[#This Row],[Sales]]+Table1[[#This Row],[Commission]]-Table1[[#This Row],[Revenue]]</f>
        <v>164.77988788195762</v>
      </c>
      <c r="M52">
        <f>Table1[[#This Row],[Revenue]]-Table1[[#This Row],[Cost]]</f>
        <v>1959.8301681770636</v>
      </c>
    </row>
    <row r="53" spans="1:13" x14ac:dyDescent="0.3">
      <c r="A53" s="1">
        <v>44742</v>
      </c>
      <c r="B53">
        <f>YEAR(Table1[[#This Row],[Date]])</f>
        <v>2022</v>
      </c>
      <c r="C53" t="s">
        <v>58</v>
      </c>
      <c r="D53" t="s">
        <v>4</v>
      </c>
      <c r="E53" t="s">
        <v>10</v>
      </c>
      <c r="F53">
        <v>3591</v>
      </c>
      <c r="G53">
        <v>203.95681275231831</v>
      </c>
      <c r="H53" t="str">
        <f>VLOOKUP(Table1[[#This Row],[Manager]],Managers!$A$2:$B$9,2,FALSE)</f>
        <v>Monique Bingette</v>
      </c>
      <c r="I53" t="str">
        <f>VLOOKUP(Table1[[#This Row],[Product]],Products!$A$2:$B$11,2,FALSE)</f>
        <v>Mockolate</v>
      </c>
      <c r="J53" t="str">
        <f>IF(Table1[[#This Row],[Sales]]&gt;4000,"Exceeded the target",IF(AND(Table1[[#This Row],[Sales]]&lt;=4000,Table1[[#This Row],[Sales]]&lt;2500),"Did not meet the target","met the target"))</f>
        <v>met the target</v>
      </c>
      <c r="K53">
        <f>Table1[[#This Row],[Sales]]-Table1[[#This Row],[Commission]]</f>
        <v>3387.0431872476815</v>
      </c>
      <c r="L53">
        <f>Table1[[#This Row],[Sales]]+Table1[[#This Row],[Commission]]-Table1[[#This Row],[Revenue]]</f>
        <v>407.91362550463691</v>
      </c>
      <c r="M53">
        <f>Table1[[#This Row],[Revenue]]-Table1[[#This Row],[Cost]]</f>
        <v>2979.1295617430446</v>
      </c>
    </row>
    <row r="54" spans="1:13" x14ac:dyDescent="0.3">
      <c r="A54" s="1">
        <v>44742</v>
      </c>
      <c r="B54">
        <f>YEAR(Table1[[#This Row],[Date]])</f>
        <v>2022</v>
      </c>
      <c r="C54" t="s">
        <v>59</v>
      </c>
      <c r="D54" t="s">
        <v>4</v>
      </c>
      <c r="E54" t="s">
        <v>9</v>
      </c>
      <c r="F54">
        <v>2466</v>
      </c>
      <c r="G54">
        <v>165.66877180838171</v>
      </c>
      <c r="H54" t="str">
        <f>VLOOKUP(Table1[[#This Row],[Manager]],Managers!$A$2:$B$9,2,FALSE)</f>
        <v>Monique Bingette</v>
      </c>
      <c r="I54" t="str">
        <f>VLOOKUP(Table1[[#This Row],[Product]],Products!$A$2:$B$11,2,FALSE)</f>
        <v>Floor Cheesecake</v>
      </c>
      <c r="J54" t="str">
        <f>IF(Table1[[#This Row],[Sales]]&gt;4000,"Exceeded the target",IF(AND(Table1[[#This Row],[Sales]]&lt;=4000,Table1[[#This Row],[Sales]]&lt;2500),"Did not meet the target","met the target"))</f>
        <v>Did not meet the target</v>
      </c>
      <c r="K54">
        <f>Table1[[#This Row],[Sales]]-Table1[[#This Row],[Commission]]</f>
        <v>2300.3312281916183</v>
      </c>
      <c r="L54">
        <f>Table1[[#This Row],[Sales]]+Table1[[#This Row],[Commission]]-Table1[[#This Row],[Revenue]]</f>
        <v>331.33754361676347</v>
      </c>
      <c r="M54">
        <f>Table1[[#This Row],[Revenue]]-Table1[[#This Row],[Cost]]</f>
        <v>1968.9936845748548</v>
      </c>
    </row>
    <row r="55" spans="1:13" x14ac:dyDescent="0.3">
      <c r="A55" s="1">
        <v>44742</v>
      </c>
      <c r="B55">
        <f>YEAR(Table1[[#This Row],[Date]])</f>
        <v>2022</v>
      </c>
      <c r="C55" t="s">
        <v>60</v>
      </c>
      <c r="D55" t="s">
        <v>4</v>
      </c>
      <c r="E55" t="s">
        <v>8</v>
      </c>
      <c r="F55">
        <v>4114</v>
      </c>
      <c r="G55">
        <v>126.123659845573</v>
      </c>
      <c r="H55" t="str">
        <f>VLOOKUP(Table1[[#This Row],[Manager]],Managers!$A$2:$B$9,2,FALSE)</f>
        <v>Monique Bingette</v>
      </c>
      <c r="I55" t="str">
        <f>VLOOKUP(Table1[[#This Row],[Product]],Products!$A$2:$B$11,2,FALSE)</f>
        <v>Traditional English Trifle</v>
      </c>
      <c r="J55" t="str">
        <f>IF(Table1[[#This Row],[Sales]]&gt;4000,"Exceeded the target",IF(AND(Table1[[#This Row],[Sales]]&lt;=4000,Table1[[#This Row],[Sales]]&lt;2500),"Did not meet the target","met the target"))</f>
        <v>Exceeded the target</v>
      </c>
      <c r="K55">
        <f>Table1[[#This Row],[Sales]]-Table1[[#This Row],[Commission]]</f>
        <v>3987.876340154427</v>
      </c>
      <c r="L55">
        <f>Table1[[#This Row],[Sales]]+Table1[[#This Row],[Commission]]-Table1[[#This Row],[Revenue]]</f>
        <v>252.24731969114555</v>
      </c>
      <c r="M55">
        <f>Table1[[#This Row],[Revenue]]-Table1[[#This Row],[Cost]]</f>
        <v>3735.6290204632814</v>
      </c>
    </row>
    <row r="56" spans="1:13" x14ac:dyDescent="0.3">
      <c r="A56" s="1">
        <v>44773</v>
      </c>
      <c r="B56">
        <f>YEAR(Table1[[#This Row],[Date]])</f>
        <v>2022</v>
      </c>
      <c r="C56" t="s">
        <v>61</v>
      </c>
      <c r="D56" t="s">
        <v>4</v>
      </c>
      <c r="E56" t="s">
        <v>8</v>
      </c>
      <c r="F56">
        <v>3446</v>
      </c>
      <c r="G56">
        <v>213.54208464065371</v>
      </c>
      <c r="H56" t="str">
        <f>VLOOKUP(Table1[[#This Row],[Manager]],Managers!$A$2:$B$9,2,FALSE)</f>
        <v>Monique Bingette</v>
      </c>
      <c r="I56" t="str">
        <f>VLOOKUP(Table1[[#This Row],[Product]],Products!$A$2:$B$11,2,FALSE)</f>
        <v>Traditional English Trifle</v>
      </c>
      <c r="J56" t="str">
        <f>IF(Table1[[#This Row],[Sales]]&gt;4000,"Exceeded the target",IF(AND(Table1[[#This Row],[Sales]]&lt;=4000,Table1[[#This Row],[Sales]]&lt;2500),"Did not meet the target","met the target"))</f>
        <v>met the target</v>
      </c>
      <c r="K56">
        <f>Table1[[#This Row],[Sales]]-Table1[[#This Row],[Commission]]</f>
        <v>3232.4579153593463</v>
      </c>
      <c r="L56">
        <f>Table1[[#This Row],[Sales]]+Table1[[#This Row],[Commission]]-Table1[[#This Row],[Revenue]]</f>
        <v>427.08416928130737</v>
      </c>
      <c r="M56">
        <f>Table1[[#This Row],[Revenue]]-Table1[[#This Row],[Cost]]</f>
        <v>2805.3737460780389</v>
      </c>
    </row>
    <row r="57" spans="1:13" x14ac:dyDescent="0.3">
      <c r="A57" s="1">
        <v>44773</v>
      </c>
      <c r="B57">
        <f>YEAR(Table1[[#This Row],[Date]])</f>
        <v>2022</v>
      </c>
      <c r="C57" t="s">
        <v>62</v>
      </c>
      <c r="D57" t="s">
        <v>4</v>
      </c>
      <c r="E57" t="s">
        <v>9</v>
      </c>
      <c r="F57">
        <v>3659</v>
      </c>
      <c r="G57">
        <v>202.04236003982351</v>
      </c>
      <c r="H57" t="str">
        <f>VLOOKUP(Table1[[#This Row],[Manager]],Managers!$A$2:$B$9,2,FALSE)</f>
        <v>Monique Bingette</v>
      </c>
      <c r="I57" t="str">
        <f>VLOOKUP(Table1[[#This Row],[Product]],Products!$A$2:$B$11,2,FALSE)</f>
        <v>Floor Cheesecake</v>
      </c>
      <c r="J57" t="str">
        <f>IF(Table1[[#This Row],[Sales]]&gt;4000,"Exceeded the target",IF(AND(Table1[[#This Row],[Sales]]&lt;=4000,Table1[[#This Row],[Sales]]&lt;2500),"Did not meet the target","met the target"))</f>
        <v>met the target</v>
      </c>
      <c r="K57">
        <f>Table1[[#This Row],[Sales]]-Table1[[#This Row],[Commission]]</f>
        <v>3456.9576399601765</v>
      </c>
      <c r="L57">
        <f>Table1[[#This Row],[Sales]]+Table1[[#This Row],[Commission]]-Table1[[#This Row],[Revenue]]</f>
        <v>404.08472007964701</v>
      </c>
      <c r="M57">
        <f>Table1[[#This Row],[Revenue]]-Table1[[#This Row],[Cost]]</f>
        <v>3052.8729198805295</v>
      </c>
    </row>
    <row r="58" spans="1:13" x14ac:dyDescent="0.3">
      <c r="A58" s="1">
        <v>44773</v>
      </c>
      <c r="B58">
        <f>YEAR(Table1[[#This Row],[Date]])</f>
        <v>2022</v>
      </c>
      <c r="C58" t="s">
        <v>63</v>
      </c>
      <c r="D58" t="s">
        <v>4</v>
      </c>
      <c r="E58" t="s">
        <v>10</v>
      </c>
      <c r="F58">
        <v>2589</v>
      </c>
      <c r="G58">
        <v>168.21126182367951</v>
      </c>
      <c r="H58" t="str">
        <f>VLOOKUP(Table1[[#This Row],[Manager]],Managers!$A$2:$B$9,2,FALSE)</f>
        <v>Monique Bingette</v>
      </c>
      <c r="I58" t="str">
        <f>VLOOKUP(Table1[[#This Row],[Product]],Products!$A$2:$B$11,2,FALSE)</f>
        <v>Mockolate</v>
      </c>
      <c r="J58" t="str">
        <f>IF(Table1[[#This Row],[Sales]]&gt;4000,"Exceeded the target",IF(AND(Table1[[#This Row],[Sales]]&lt;=4000,Table1[[#This Row],[Sales]]&lt;2500),"Did not meet the target","met the target"))</f>
        <v>met the target</v>
      </c>
      <c r="K58">
        <f>Table1[[#This Row],[Sales]]-Table1[[#This Row],[Commission]]</f>
        <v>2420.7887381763203</v>
      </c>
      <c r="L58">
        <f>Table1[[#This Row],[Sales]]+Table1[[#This Row],[Commission]]-Table1[[#This Row],[Revenue]]</f>
        <v>336.42252364735941</v>
      </c>
      <c r="M58">
        <f>Table1[[#This Row],[Revenue]]-Table1[[#This Row],[Cost]]</f>
        <v>2084.3662145289609</v>
      </c>
    </row>
    <row r="59" spans="1:13" x14ac:dyDescent="0.3">
      <c r="A59" s="1">
        <v>44804</v>
      </c>
      <c r="B59">
        <f>YEAR(Table1[[#This Row],[Date]])</f>
        <v>2022</v>
      </c>
      <c r="C59" t="s">
        <v>64</v>
      </c>
      <c r="D59" t="s">
        <v>4</v>
      </c>
      <c r="E59" t="s">
        <v>8</v>
      </c>
      <c r="F59">
        <v>3916</v>
      </c>
      <c r="G59">
        <v>246.25652172754661</v>
      </c>
      <c r="H59" t="str">
        <f>VLOOKUP(Table1[[#This Row],[Manager]],Managers!$A$2:$B$9,2,FALSE)</f>
        <v>Monique Bingette</v>
      </c>
      <c r="I59" t="str">
        <f>VLOOKUP(Table1[[#This Row],[Product]],Products!$A$2:$B$11,2,FALSE)</f>
        <v>Traditional English Trifle</v>
      </c>
      <c r="J59" t="str">
        <f>IF(Table1[[#This Row],[Sales]]&gt;4000,"Exceeded the target",IF(AND(Table1[[#This Row],[Sales]]&lt;=4000,Table1[[#This Row],[Sales]]&lt;2500),"Did not meet the target","met the target"))</f>
        <v>met the target</v>
      </c>
      <c r="K59">
        <f>Table1[[#This Row],[Sales]]-Table1[[#This Row],[Commission]]</f>
        <v>3669.7434782724536</v>
      </c>
      <c r="L59">
        <f>Table1[[#This Row],[Sales]]+Table1[[#This Row],[Commission]]-Table1[[#This Row],[Revenue]]</f>
        <v>492.51304345509334</v>
      </c>
      <c r="M59">
        <f>Table1[[#This Row],[Revenue]]-Table1[[#This Row],[Cost]]</f>
        <v>3177.2304348173602</v>
      </c>
    </row>
    <row r="60" spans="1:13" x14ac:dyDescent="0.3">
      <c r="A60" s="1">
        <v>44804</v>
      </c>
      <c r="B60">
        <f>YEAR(Table1[[#This Row],[Date]])</f>
        <v>2022</v>
      </c>
      <c r="C60" t="s">
        <v>65</v>
      </c>
      <c r="D60" t="s">
        <v>4</v>
      </c>
      <c r="E60" t="s">
        <v>10</v>
      </c>
      <c r="F60">
        <v>3024</v>
      </c>
      <c r="G60">
        <v>152.56914412881929</v>
      </c>
      <c r="H60" t="str">
        <f>VLOOKUP(Table1[[#This Row],[Manager]],Managers!$A$2:$B$9,2,FALSE)</f>
        <v>Monique Bingette</v>
      </c>
      <c r="I60" t="str">
        <f>VLOOKUP(Table1[[#This Row],[Product]],Products!$A$2:$B$11,2,FALSE)</f>
        <v>Mockolate</v>
      </c>
      <c r="J60" t="str">
        <f>IF(Table1[[#This Row],[Sales]]&gt;4000,"Exceeded the target",IF(AND(Table1[[#This Row],[Sales]]&lt;=4000,Table1[[#This Row],[Sales]]&lt;2500),"Did not meet the target","met the target"))</f>
        <v>met the target</v>
      </c>
      <c r="K60">
        <f>Table1[[#This Row],[Sales]]-Table1[[#This Row],[Commission]]</f>
        <v>2871.4308558711809</v>
      </c>
      <c r="L60">
        <f>Table1[[#This Row],[Sales]]+Table1[[#This Row],[Commission]]-Table1[[#This Row],[Revenue]]</f>
        <v>305.13828825763812</v>
      </c>
      <c r="M60">
        <f>Table1[[#This Row],[Revenue]]-Table1[[#This Row],[Cost]]</f>
        <v>2566.2925676135428</v>
      </c>
    </row>
    <row r="61" spans="1:13" x14ac:dyDescent="0.3">
      <c r="A61" s="1">
        <v>44804</v>
      </c>
      <c r="B61">
        <f>YEAR(Table1[[#This Row],[Date]])</f>
        <v>2022</v>
      </c>
      <c r="C61" t="s">
        <v>66</v>
      </c>
      <c r="D61" t="s">
        <v>4</v>
      </c>
      <c r="E61" t="s">
        <v>9</v>
      </c>
      <c r="F61">
        <v>2204</v>
      </c>
      <c r="G61">
        <v>82.85699191334713</v>
      </c>
      <c r="H61" t="str">
        <f>VLOOKUP(Table1[[#This Row],[Manager]],Managers!$A$2:$B$9,2,FALSE)</f>
        <v>Monique Bingette</v>
      </c>
      <c r="I61" t="str">
        <f>VLOOKUP(Table1[[#This Row],[Product]],Products!$A$2:$B$11,2,FALSE)</f>
        <v>Floor Cheesecake</v>
      </c>
      <c r="J61" t="str">
        <f>IF(Table1[[#This Row],[Sales]]&gt;4000,"Exceeded the target",IF(AND(Table1[[#This Row],[Sales]]&lt;=4000,Table1[[#This Row],[Sales]]&lt;2500),"Did not meet the target","met the target"))</f>
        <v>Did not meet the target</v>
      </c>
      <c r="K61">
        <f>Table1[[#This Row],[Sales]]-Table1[[#This Row],[Commission]]</f>
        <v>2121.143008086653</v>
      </c>
      <c r="L61">
        <f>Table1[[#This Row],[Sales]]+Table1[[#This Row],[Commission]]-Table1[[#This Row],[Revenue]]</f>
        <v>165.71398382669395</v>
      </c>
      <c r="M61">
        <f>Table1[[#This Row],[Revenue]]-Table1[[#This Row],[Cost]]</f>
        <v>1955.4290242599591</v>
      </c>
    </row>
    <row r="62" spans="1:13" x14ac:dyDescent="0.3">
      <c r="A62" s="1">
        <v>44834</v>
      </c>
      <c r="B62">
        <f>YEAR(Table1[[#This Row],[Date]])</f>
        <v>2022</v>
      </c>
      <c r="C62" t="s">
        <v>55</v>
      </c>
      <c r="D62" t="s">
        <v>4</v>
      </c>
      <c r="E62" t="s">
        <v>9</v>
      </c>
      <c r="F62">
        <v>3217</v>
      </c>
      <c r="G62">
        <v>189.87948278661719</v>
      </c>
      <c r="H62" t="str">
        <f>VLOOKUP(Table1[[#This Row],[Manager]],Managers!$A$2:$B$9,2,FALSE)</f>
        <v>Monique Bingette</v>
      </c>
      <c r="I62" t="str">
        <f>VLOOKUP(Table1[[#This Row],[Product]],Products!$A$2:$B$11,2,FALSE)</f>
        <v>Floor Cheesecake</v>
      </c>
      <c r="J62" t="str">
        <f>IF(Table1[[#This Row],[Sales]]&gt;4000,"Exceeded the target",IF(AND(Table1[[#This Row],[Sales]]&lt;=4000,Table1[[#This Row],[Sales]]&lt;2500),"Did not meet the target","met the target"))</f>
        <v>met the target</v>
      </c>
      <c r="K62">
        <f>Table1[[#This Row],[Sales]]-Table1[[#This Row],[Commission]]</f>
        <v>3027.1205172133828</v>
      </c>
      <c r="L62">
        <f>Table1[[#This Row],[Sales]]+Table1[[#This Row],[Commission]]-Table1[[#This Row],[Revenue]]</f>
        <v>379.75896557323449</v>
      </c>
      <c r="M62">
        <f>Table1[[#This Row],[Revenue]]-Table1[[#This Row],[Cost]]</f>
        <v>2647.3615516401483</v>
      </c>
    </row>
    <row r="63" spans="1:13" x14ac:dyDescent="0.3">
      <c r="A63" s="1">
        <v>44834</v>
      </c>
      <c r="B63">
        <f>YEAR(Table1[[#This Row],[Date]])</f>
        <v>2022</v>
      </c>
      <c r="C63" t="s">
        <v>56</v>
      </c>
      <c r="D63" t="s">
        <v>4</v>
      </c>
      <c r="E63" t="s">
        <v>8</v>
      </c>
      <c r="F63">
        <v>2605</v>
      </c>
      <c r="G63">
        <v>83.717112342187193</v>
      </c>
      <c r="H63" t="str">
        <f>VLOOKUP(Table1[[#This Row],[Manager]],Managers!$A$2:$B$9,2,FALSE)</f>
        <v>Monique Bingette</v>
      </c>
      <c r="I63" t="str">
        <f>VLOOKUP(Table1[[#This Row],[Product]],Products!$A$2:$B$11,2,FALSE)</f>
        <v>Traditional English Trifle</v>
      </c>
      <c r="J63" t="str">
        <f>IF(Table1[[#This Row],[Sales]]&gt;4000,"Exceeded the target",IF(AND(Table1[[#This Row],[Sales]]&lt;=4000,Table1[[#This Row],[Sales]]&lt;2500),"Did not meet the target","met the target"))</f>
        <v>met the target</v>
      </c>
      <c r="K63">
        <f>Table1[[#This Row],[Sales]]-Table1[[#This Row],[Commission]]</f>
        <v>2521.2828876578128</v>
      </c>
      <c r="L63">
        <f>Table1[[#This Row],[Sales]]+Table1[[#This Row],[Commission]]-Table1[[#This Row],[Revenue]]</f>
        <v>167.43422468437439</v>
      </c>
      <c r="M63">
        <f>Table1[[#This Row],[Revenue]]-Table1[[#This Row],[Cost]]</f>
        <v>2353.8486629734384</v>
      </c>
    </row>
    <row r="64" spans="1:13" x14ac:dyDescent="0.3">
      <c r="A64" s="1">
        <v>44834</v>
      </c>
      <c r="B64">
        <f>YEAR(Table1[[#This Row],[Date]])</f>
        <v>2022</v>
      </c>
      <c r="C64" t="s">
        <v>57</v>
      </c>
      <c r="D64" t="s">
        <v>4</v>
      </c>
      <c r="E64" t="s">
        <v>10</v>
      </c>
      <c r="F64">
        <v>2699</v>
      </c>
      <c r="G64">
        <v>82.203708433158354</v>
      </c>
      <c r="H64" t="str">
        <f>VLOOKUP(Table1[[#This Row],[Manager]],Managers!$A$2:$B$9,2,FALSE)</f>
        <v>Monique Bingette</v>
      </c>
      <c r="I64" t="str">
        <f>VLOOKUP(Table1[[#This Row],[Product]],Products!$A$2:$B$11,2,FALSE)</f>
        <v>Mockolate</v>
      </c>
      <c r="J64" t="str">
        <f>IF(Table1[[#This Row],[Sales]]&gt;4000,"Exceeded the target",IF(AND(Table1[[#This Row],[Sales]]&lt;=4000,Table1[[#This Row],[Sales]]&lt;2500),"Did not meet the target","met the target"))</f>
        <v>met the target</v>
      </c>
      <c r="K64">
        <f>Table1[[#This Row],[Sales]]-Table1[[#This Row],[Commission]]</f>
        <v>2616.7962915668418</v>
      </c>
      <c r="L64">
        <f>Table1[[#This Row],[Sales]]+Table1[[#This Row],[Commission]]-Table1[[#This Row],[Revenue]]</f>
        <v>164.40741686631645</v>
      </c>
      <c r="M64">
        <f>Table1[[#This Row],[Revenue]]-Table1[[#This Row],[Cost]]</f>
        <v>2452.3888747005253</v>
      </c>
    </row>
    <row r="65" spans="1:13" x14ac:dyDescent="0.3">
      <c r="A65" s="1">
        <v>44865</v>
      </c>
      <c r="B65">
        <f>YEAR(Table1[[#This Row],[Date]])</f>
        <v>2022</v>
      </c>
      <c r="C65" t="s">
        <v>58</v>
      </c>
      <c r="D65" t="s">
        <v>4</v>
      </c>
      <c r="E65" t="s">
        <v>9</v>
      </c>
      <c r="F65">
        <v>4626</v>
      </c>
      <c r="G65">
        <v>194.58781132435359</v>
      </c>
      <c r="H65" t="str">
        <f>VLOOKUP(Table1[[#This Row],[Manager]],Managers!$A$2:$B$9,2,FALSE)</f>
        <v>Monique Bingette</v>
      </c>
      <c r="I65" t="str">
        <f>VLOOKUP(Table1[[#This Row],[Product]],Products!$A$2:$B$11,2,FALSE)</f>
        <v>Floor Cheesecake</v>
      </c>
      <c r="J65" t="str">
        <f>IF(Table1[[#This Row],[Sales]]&gt;4000,"Exceeded the target",IF(AND(Table1[[#This Row],[Sales]]&lt;=4000,Table1[[#This Row],[Sales]]&lt;2500),"Did not meet the target","met the target"))</f>
        <v>Exceeded the target</v>
      </c>
      <c r="K65">
        <f>Table1[[#This Row],[Sales]]-Table1[[#This Row],[Commission]]</f>
        <v>4431.4121886756466</v>
      </c>
      <c r="L65">
        <f>Table1[[#This Row],[Sales]]+Table1[[#This Row],[Commission]]-Table1[[#This Row],[Revenue]]</f>
        <v>389.17562264870685</v>
      </c>
      <c r="M65">
        <f>Table1[[#This Row],[Revenue]]-Table1[[#This Row],[Cost]]</f>
        <v>4042.2365660269397</v>
      </c>
    </row>
    <row r="66" spans="1:13" x14ac:dyDescent="0.3">
      <c r="A66" s="1">
        <v>44865</v>
      </c>
      <c r="B66">
        <f>YEAR(Table1[[#This Row],[Date]])</f>
        <v>2022</v>
      </c>
      <c r="C66" t="s">
        <v>59</v>
      </c>
      <c r="D66" t="s">
        <v>4</v>
      </c>
      <c r="E66" t="s">
        <v>8</v>
      </c>
      <c r="F66">
        <v>2634</v>
      </c>
      <c r="G66">
        <v>84.854238399577412</v>
      </c>
      <c r="H66" t="str">
        <f>VLOOKUP(Table1[[#This Row],[Manager]],Managers!$A$2:$B$9,2,FALSE)</f>
        <v>Monique Bingette</v>
      </c>
      <c r="I66" t="str">
        <f>VLOOKUP(Table1[[#This Row],[Product]],Products!$A$2:$B$11,2,FALSE)</f>
        <v>Traditional English Trifle</v>
      </c>
      <c r="J66" t="str">
        <f>IF(Table1[[#This Row],[Sales]]&gt;4000,"Exceeded the target",IF(AND(Table1[[#This Row],[Sales]]&lt;=4000,Table1[[#This Row],[Sales]]&lt;2500),"Did not meet the target","met the target"))</f>
        <v>met the target</v>
      </c>
      <c r="K66">
        <f>Table1[[#This Row],[Sales]]-Table1[[#This Row],[Commission]]</f>
        <v>2549.1457616004227</v>
      </c>
      <c r="L66">
        <f>Table1[[#This Row],[Sales]]+Table1[[#This Row],[Commission]]-Table1[[#This Row],[Revenue]]</f>
        <v>169.7084767991546</v>
      </c>
      <c r="M66">
        <f>Table1[[#This Row],[Revenue]]-Table1[[#This Row],[Cost]]</f>
        <v>2379.4372848012681</v>
      </c>
    </row>
    <row r="67" spans="1:13" x14ac:dyDescent="0.3">
      <c r="A67" s="1">
        <v>44865</v>
      </c>
      <c r="B67">
        <f>YEAR(Table1[[#This Row],[Date]])</f>
        <v>2022</v>
      </c>
      <c r="C67" t="s">
        <v>60</v>
      </c>
      <c r="D67" t="s">
        <v>4</v>
      </c>
      <c r="E67" t="s">
        <v>10</v>
      </c>
      <c r="F67">
        <v>1973</v>
      </c>
      <c r="G67">
        <v>79.876364337995412</v>
      </c>
      <c r="H67" t="str">
        <f>VLOOKUP(Table1[[#This Row],[Manager]],Managers!$A$2:$B$9,2,FALSE)</f>
        <v>Monique Bingette</v>
      </c>
      <c r="I67" t="str">
        <f>VLOOKUP(Table1[[#This Row],[Product]],Products!$A$2:$B$11,2,FALSE)</f>
        <v>Mockolate</v>
      </c>
      <c r="J67" t="str">
        <f>IF(Table1[[#This Row],[Sales]]&gt;4000,"Exceeded the target",IF(AND(Table1[[#This Row],[Sales]]&lt;=4000,Table1[[#This Row],[Sales]]&lt;2500),"Did not meet the target","met the target"))</f>
        <v>Did not meet the target</v>
      </c>
      <c r="K67">
        <f>Table1[[#This Row],[Sales]]-Table1[[#This Row],[Commission]]</f>
        <v>1893.1236356620045</v>
      </c>
      <c r="L67">
        <f>Table1[[#This Row],[Sales]]+Table1[[#This Row],[Commission]]-Table1[[#This Row],[Revenue]]</f>
        <v>159.75272867599074</v>
      </c>
      <c r="M67">
        <f>Table1[[#This Row],[Revenue]]-Table1[[#This Row],[Cost]]</f>
        <v>1733.3709069860138</v>
      </c>
    </row>
    <row r="68" spans="1:13" x14ac:dyDescent="0.3">
      <c r="A68" s="1">
        <v>44895</v>
      </c>
      <c r="B68">
        <f>YEAR(Table1[[#This Row],[Date]])</f>
        <v>2022</v>
      </c>
      <c r="C68" t="s">
        <v>61</v>
      </c>
      <c r="D68" t="s">
        <v>4</v>
      </c>
      <c r="E68" t="s">
        <v>10</v>
      </c>
      <c r="F68">
        <v>3425</v>
      </c>
      <c r="G68">
        <v>140.12660063215199</v>
      </c>
      <c r="H68" t="str">
        <f>VLOOKUP(Table1[[#This Row],[Manager]],Managers!$A$2:$B$9,2,FALSE)</f>
        <v>Monique Bingette</v>
      </c>
      <c r="I68" t="str">
        <f>VLOOKUP(Table1[[#This Row],[Product]],Products!$A$2:$B$11,2,FALSE)</f>
        <v>Mockolate</v>
      </c>
      <c r="J68" t="str">
        <f>IF(Table1[[#This Row],[Sales]]&gt;4000,"Exceeded the target",IF(AND(Table1[[#This Row],[Sales]]&lt;=4000,Table1[[#This Row],[Sales]]&lt;2500),"Did not meet the target","met the target"))</f>
        <v>met the target</v>
      </c>
      <c r="K68">
        <f>Table1[[#This Row],[Sales]]-Table1[[#This Row],[Commission]]</f>
        <v>3284.8733993678479</v>
      </c>
      <c r="L68">
        <f>Table1[[#This Row],[Sales]]+Table1[[#This Row],[Commission]]-Table1[[#This Row],[Revenue]]</f>
        <v>280.25320126430415</v>
      </c>
      <c r="M68">
        <f>Table1[[#This Row],[Revenue]]-Table1[[#This Row],[Cost]]</f>
        <v>3004.6201981035438</v>
      </c>
    </row>
    <row r="69" spans="1:13" x14ac:dyDescent="0.3">
      <c r="A69" s="1">
        <v>44895</v>
      </c>
      <c r="B69">
        <f>YEAR(Table1[[#This Row],[Date]])</f>
        <v>2022</v>
      </c>
      <c r="C69" t="s">
        <v>62</v>
      </c>
      <c r="D69" t="s">
        <v>4</v>
      </c>
      <c r="E69" t="s">
        <v>8</v>
      </c>
      <c r="F69">
        <v>2723</v>
      </c>
      <c r="G69">
        <v>122.4057269836146</v>
      </c>
      <c r="H69" t="str">
        <f>VLOOKUP(Table1[[#This Row],[Manager]],Managers!$A$2:$B$9,2,FALSE)</f>
        <v>Monique Bingette</v>
      </c>
      <c r="I69" t="str">
        <f>VLOOKUP(Table1[[#This Row],[Product]],Products!$A$2:$B$11,2,FALSE)</f>
        <v>Traditional English Trifle</v>
      </c>
      <c r="J69" t="str">
        <f>IF(Table1[[#This Row],[Sales]]&gt;4000,"Exceeded the target",IF(AND(Table1[[#This Row],[Sales]]&lt;=4000,Table1[[#This Row],[Sales]]&lt;2500),"Did not meet the target","met the target"))</f>
        <v>met the target</v>
      </c>
      <c r="K69">
        <f>Table1[[#This Row],[Sales]]-Table1[[#This Row],[Commission]]</f>
        <v>2600.5942730163856</v>
      </c>
      <c r="L69">
        <f>Table1[[#This Row],[Sales]]+Table1[[#This Row],[Commission]]-Table1[[#This Row],[Revenue]]</f>
        <v>244.81145396722877</v>
      </c>
      <c r="M69">
        <f>Table1[[#This Row],[Revenue]]-Table1[[#This Row],[Cost]]</f>
        <v>2355.7828190491568</v>
      </c>
    </row>
    <row r="70" spans="1:13" x14ac:dyDescent="0.3">
      <c r="A70" s="1">
        <v>44895</v>
      </c>
      <c r="B70">
        <f>YEAR(Table1[[#This Row],[Date]])</f>
        <v>2022</v>
      </c>
      <c r="C70" t="s">
        <v>63</v>
      </c>
      <c r="D70" t="s">
        <v>4</v>
      </c>
      <c r="E70" t="s">
        <v>9</v>
      </c>
      <c r="F70">
        <v>1130</v>
      </c>
      <c r="G70">
        <v>60.459503510876779</v>
      </c>
      <c r="H70" t="str">
        <f>VLOOKUP(Table1[[#This Row],[Manager]],Managers!$A$2:$B$9,2,FALSE)</f>
        <v>Monique Bingette</v>
      </c>
      <c r="I70" t="str">
        <f>VLOOKUP(Table1[[#This Row],[Product]],Products!$A$2:$B$11,2,FALSE)</f>
        <v>Floor Cheesecake</v>
      </c>
      <c r="J70" t="str">
        <f>IF(Table1[[#This Row],[Sales]]&gt;4000,"Exceeded the target",IF(AND(Table1[[#This Row],[Sales]]&lt;=4000,Table1[[#This Row],[Sales]]&lt;2500),"Did not meet the target","met the target"))</f>
        <v>Did not meet the target</v>
      </c>
      <c r="K70">
        <f>Table1[[#This Row],[Sales]]-Table1[[#This Row],[Commission]]</f>
        <v>1069.5404964891231</v>
      </c>
      <c r="L70">
        <f>Table1[[#This Row],[Sales]]+Table1[[#This Row],[Commission]]-Table1[[#This Row],[Revenue]]</f>
        <v>120.91900702175371</v>
      </c>
      <c r="M70">
        <f>Table1[[#This Row],[Revenue]]-Table1[[#This Row],[Cost]]</f>
        <v>948.62148946736943</v>
      </c>
    </row>
    <row r="71" spans="1:13" x14ac:dyDescent="0.3">
      <c r="A71" s="1">
        <v>44926</v>
      </c>
      <c r="B71">
        <f>YEAR(Table1[[#This Row],[Date]])</f>
        <v>2022</v>
      </c>
      <c r="C71" t="s">
        <v>64</v>
      </c>
      <c r="D71" t="s">
        <v>4</v>
      </c>
      <c r="E71" t="s">
        <v>10</v>
      </c>
      <c r="F71">
        <v>4113</v>
      </c>
      <c r="G71">
        <v>211.60192142861189</v>
      </c>
      <c r="H71" t="str">
        <f>VLOOKUP(Table1[[#This Row],[Manager]],Managers!$A$2:$B$9,2,FALSE)</f>
        <v>Monique Bingette</v>
      </c>
      <c r="I71" t="str">
        <f>VLOOKUP(Table1[[#This Row],[Product]],Products!$A$2:$B$11,2,FALSE)</f>
        <v>Mockolate</v>
      </c>
      <c r="J71" t="str">
        <f>IF(Table1[[#This Row],[Sales]]&gt;4000,"Exceeded the target",IF(AND(Table1[[#This Row],[Sales]]&lt;=4000,Table1[[#This Row],[Sales]]&lt;2500),"Did not meet the target","met the target"))</f>
        <v>Exceeded the target</v>
      </c>
      <c r="K71">
        <f>Table1[[#This Row],[Sales]]-Table1[[#This Row],[Commission]]</f>
        <v>3901.3980785713879</v>
      </c>
      <c r="L71">
        <f>Table1[[#This Row],[Sales]]+Table1[[#This Row],[Commission]]-Table1[[#This Row],[Revenue]]</f>
        <v>423.20384285722366</v>
      </c>
      <c r="M71">
        <f>Table1[[#This Row],[Revenue]]-Table1[[#This Row],[Cost]]</f>
        <v>3478.1942357141643</v>
      </c>
    </row>
    <row r="72" spans="1:13" x14ac:dyDescent="0.3">
      <c r="A72" s="1">
        <v>44926</v>
      </c>
      <c r="B72">
        <f>YEAR(Table1[[#This Row],[Date]])</f>
        <v>2022</v>
      </c>
      <c r="C72" t="s">
        <v>65</v>
      </c>
      <c r="D72" t="s">
        <v>4</v>
      </c>
      <c r="E72" t="s">
        <v>9</v>
      </c>
      <c r="F72">
        <v>3830</v>
      </c>
      <c r="G72">
        <v>193.03458177515591</v>
      </c>
      <c r="H72" t="str">
        <f>VLOOKUP(Table1[[#This Row],[Manager]],Managers!$A$2:$B$9,2,FALSE)</f>
        <v>Monique Bingette</v>
      </c>
      <c r="I72" t="str">
        <f>VLOOKUP(Table1[[#This Row],[Product]],Products!$A$2:$B$11,2,FALSE)</f>
        <v>Floor Cheesecake</v>
      </c>
      <c r="J72" t="str">
        <f>IF(Table1[[#This Row],[Sales]]&gt;4000,"Exceeded the target",IF(AND(Table1[[#This Row],[Sales]]&lt;=4000,Table1[[#This Row],[Sales]]&lt;2500),"Did not meet the target","met the target"))</f>
        <v>met the target</v>
      </c>
      <c r="K72">
        <f>Table1[[#This Row],[Sales]]-Table1[[#This Row],[Commission]]</f>
        <v>3636.9654182248441</v>
      </c>
      <c r="L72">
        <f>Table1[[#This Row],[Sales]]+Table1[[#This Row],[Commission]]-Table1[[#This Row],[Revenue]]</f>
        <v>386.06916355031171</v>
      </c>
      <c r="M72">
        <f>Table1[[#This Row],[Revenue]]-Table1[[#This Row],[Cost]]</f>
        <v>3250.8962546745324</v>
      </c>
    </row>
    <row r="73" spans="1:13" x14ac:dyDescent="0.3">
      <c r="A73" s="1">
        <v>44926</v>
      </c>
      <c r="B73">
        <f>YEAR(Table1[[#This Row],[Date]])</f>
        <v>2022</v>
      </c>
      <c r="C73" t="s">
        <v>66</v>
      </c>
      <c r="D73" t="s">
        <v>4</v>
      </c>
      <c r="E73" t="s">
        <v>8</v>
      </c>
      <c r="F73">
        <v>2435</v>
      </c>
      <c r="G73">
        <v>114.97119760808521</v>
      </c>
      <c r="H73" t="str">
        <f>VLOOKUP(Table1[[#This Row],[Manager]],Managers!$A$2:$B$9,2,FALSE)</f>
        <v>Monique Bingette</v>
      </c>
      <c r="I73" t="str">
        <f>VLOOKUP(Table1[[#This Row],[Product]],Products!$A$2:$B$11,2,FALSE)</f>
        <v>Traditional English Trifle</v>
      </c>
      <c r="J73" t="str">
        <f>IF(Table1[[#This Row],[Sales]]&gt;4000,"Exceeded the target",IF(AND(Table1[[#This Row],[Sales]]&lt;=4000,Table1[[#This Row],[Sales]]&lt;2500),"Did not meet the target","met the target"))</f>
        <v>Did not meet the target</v>
      </c>
      <c r="K73">
        <f>Table1[[#This Row],[Sales]]-Table1[[#This Row],[Commission]]</f>
        <v>2320.0288023919147</v>
      </c>
      <c r="L73">
        <f>Table1[[#This Row],[Sales]]+Table1[[#This Row],[Commission]]-Table1[[#This Row],[Revenue]]</f>
        <v>229.94239521617055</v>
      </c>
      <c r="M73">
        <f>Table1[[#This Row],[Revenue]]-Table1[[#This Row],[Cost]]</f>
        <v>2090.0864071757442</v>
      </c>
    </row>
    <row r="74" spans="1:13" x14ac:dyDescent="0.3">
      <c r="A74" s="1">
        <v>44592</v>
      </c>
      <c r="B74">
        <f>YEAR(Table1[[#This Row],[Date]])</f>
        <v>2022</v>
      </c>
      <c r="C74" t="s">
        <v>55</v>
      </c>
      <c r="D74" t="s">
        <v>5</v>
      </c>
      <c r="E74" t="s">
        <v>9</v>
      </c>
      <c r="F74">
        <v>4431</v>
      </c>
      <c r="G74">
        <v>170.12270606835071</v>
      </c>
      <c r="H74" t="str">
        <f>VLOOKUP(Table1[[#This Row],[Manager]],Managers!$A$2:$B$9,2,FALSE)</f>
        <v>Rachella Green</v>
      </c>
      <c r="I74" t="str">
        <f>VLOOKUP(Table1[[#This Row],[Product]],Products!$A$2:$B$11,2,FALSE)</f>
        <v>Floor Cheesecake</v>
      </c>
      <c r="J74" t="str">
        <f>IF(Table1[[#This Row],[Sales]]&gt;4000,"Exceeded the target",IF(AND(Table1[[#This Row],[Sales]]&lt;=4000,Table1[[#This Row],[Sales]]&lt;2500),"Did not meet the target","met the target"))</f>
        <v>Exceeded the target</v>
      </c>
      <c r="K74">
        <f>Table1[[#This Row],[Sales]]-Table1[[#This Row],[Commission]]</f>
        <v>4260.8772939316495</v>
      </c>
      <c r="L74">
        <f>Table1[[#This Row],[Sales]]+Table1[[#This Row],[Commission]]-Table1[[#This Row],[Revenue]]</f>
        <v>340.24541213670091</v>
      </c>
      <c r="M74">
        <f>Table1[[#This Row],[Revenue]]-Table1[[#This Row],[Cost]]</f>
        <v>3920.6318817949486</v>
      </c>
    </row>
    <row r="75" spans="1:13" x14ac:dyDescent="0.3">
      <c r="A75" s="1">
        <v>44592</v>
      </c>
      <c r="B75">
        <f>YEAR(Table1[[#This Row],[Date]])</f>
        <v>2022</v>
      </c>
      <c r="C75" t="s">
        <v>56</v>
      </c>
      <c r="D75" t="s">
        <v>5</v>
      </c>
      <c r="E75" t="s">
        <v>8</v>
      </c>
      <c r="F75">
        <v>2731</v>
      </c>
      <c r="G75">
        <v>125.4316688364859</v>
      </c>
      <c r="H75" t="str">
        <f>VLOOKUP(Table1[[#This Row],[Manager]],Managers!$A$2:$B$9,2,FALSE)</f>
        <v>Rachella Green</v>
      </c>
      <c r="I75" t="str">
        <f>VLOOKUP(Table1[[#This Row],[Product]],Products!$A$2:$B$11,2,FALSE)</f>
        <v>Traditional English Trifle</v>
      </c>
      <c r="J75" t="str">
        <f>IF(Table1[[#This Row],[Sales]]&gt;4000,"Exceeded the target",IF(AND(Table1[[#This Row],[Sales]]&lt;=4000,Table1[[#This Row],[Sales]]&lt;2500),"Did not meet the target","met the target"))</f>
        <v>met the target</v>
      </c>
      <c r="K75">
        <f>Table1[[#This Row],[Sales]]-Table1[[#This Row],[Commission]]</f>
        <v>2605.5683311635139</v>
      </c>
      <c r="L75">
        <f>Table1[[#This Row],[Sales]]+Table1[[#This Row],[Commission]]-Table1[[#This Row],[Revenue]]</f>
        <v>250.86333767297219</v>
      </c>
      <c r="M75">
        <f>Table1[[#This Row],[Revenue]]-Table1[[#This Row],[Cost]]</f>
        <v>2354.7049934905417</v>
      </c>
    </row>
    <row r="76" spans="1:13" x14ac:dyDescent="0.3">
      <c r="A76" s="1">
        <v>44592</v>
      </c>
      <c r="B76">
        <f>YEAR(Table1[[#This Row],[Date]])</f>
        <v>2022</v>
      </c>
      <c r="C76" t="s">
        <v>57</v>
      </c>
      <c r="D76" t="s">
        <v>5</v>
      </c>
      <c r="E76" t="s">
        <v>10</v>
      </c>
      <c r="F76">
        <v>2033</v>
      </c>
      <c r="G76">
        <v>76.131215238188943</v>
      </c>
      <c r="H76" t="str">
        <f>VLOOKUP(Table1[[#This Row],[Manager]],Managers!$A$2:$B$9,2,FALSE)</f>
        <v>Rachella Green</v>
      </c>
      <c r="I76" t="str">
        <f>VLOOKUP(Table1[[#This Row],[Product]],Products!$A$2:$B$11,2,FALSE)</f>
        <v>Mockolate</v>
      </c>
      <c r="J76" t="str">
        <f>IF(Table1[[#This Row],[Sales]]&gt;4000,"Exceeded the target",IF(AND(Table1[[#This Row],[Sales]]&lt;=4000,Table1[[#This Row],[Sales]]&lt;2500),"Did not meet the target","met the target"))</f>
        <v>Did not meet the target</v>
      </c>
      <c r="K76">
        <f>Table1[[#This Row],[Sales]]-Table1[[#This Row],[Commission]]</f>
        <v>1956.868784761811</v>
      </c>
      <c r="L76">
        <f>Table1[[#This Row],[Sales]]+Table1[[#This Row],[Commission]]-Table1[[#This Row],[Revenue]]</f>
        <v>152.26243047637786</v>
      </c>
      <c r="M76">
        <f>Table1[[#This Row],[Revenue]]-Table1[[#This Row],[Cost]]</f>
        <v>1804.6063542854331</v>
      </c>
    </row>
    <row r="77" spans="1:13" x14ac:dyDescent="0.3">
      <c r="A77" s="1">
        <v>44620</v>
      </c>
      <c r="B77">
        <f>YEAR(Table1[[#This Row],[Date]])</f>
        <v>2022</v>
      </c>
      <c r="C77" t="s">
        <v>58</v>
      </c>
      <c r="D77" t="s">
        <v>5</v>
      </c>
      <c r="E77" t="s">
        <v>9</v>
      </c>
      <c r="F77">
        <v>3135</v>
      </c>
      <c r="G77">
        <v>179.24585379672041</v>
      </c>
      <c r="H77" t="str">
        <f>VLOOKUP(Table1[[#This Row],[Manager]],Managers!$A$2:$B$9,2,FALSE)</f>
        <v>Rachella Green</v>
      </c>
      <c r="I77" t="str">
        <f>VLOOKUP(Table1[[#This Row],[Product]],Products!$A$2:$B$11,2,FALSE)</f>
        <v>Floor Cheesecake</v>
      </c>
      <c r="J77" t="str">
        <f>IF(Table1[[#This Row],[Sales]]&gt;4000,"Exceeded the target",IF(AND(Table1[[#This Row],[Sales]]&lt;=4000,Table1[[#This Row],[Sales]]&lt;2500),"Did not meet the target","met the target"))</f>
        <v>met the target</v>
      </c>
      <c r="K77">
        <f>Table1[[#This Row],[Sales]]-Table1[[#This Row],[Commission]]</f>
        <v>2955.7541462032796</v>
      </c>
      <c r="L77">
        <f>Table1[[#This Row],[Sales]]+Table1[[#This Row],[Commission]]-Table1[[#This Row],[Revenue]]</f>
        <v>358.49170759344088</v>
      </c>
      <c r="M77">
        <f>Table1[[#This Row],[Revenue]]-Table1[[#This Row],[Cost]]</f>
        <v>2597.2624386098387</v>
      </c>
    </row>
    <row r="78" spans="1:13" x14ac:dyDescent="0.3">
      <c r="A78" s="1">
        <v>44620</v>
      </c>
      <c r="B78">
        <f>YEAR(Table1[[#This Row],[Date]])</f>
        <v>2022</v>
      </c>
      <c r="C78" t="s">
        <v>59</v>
      </c>
      <c r="D78" t="s">
        <v>5</v>
      </c>
      <c r="E78" t="s">
        <v>10</v>
      </c>
      <c r="F78">
        <v>3222</v>
      </c>
      <c r="G78">
        <v>155.1324493263831</v>
      </c>
      <c r="H78" t="str">
        <f>VLOOKUP(Table1[[#This Row],[Manager]],Managers!$A$2:$B$9,2,FALSE)</f>
        <v>Rachella Green</v>
      </c>
      <c r="I78" t="str">
        <f>VLOOKUP(Table1[[#This Row],[Product]],Products!$A$2:$B$11,2,FALSE)</f>
        <v>Mockolate</v>
      </c>
      <c r="J78" t="str">
        <f>IF(Table1[[#This Row],[Sales]]&gt;4000,"Exceeded the target",IF(AND(Table1[[#This Row],[Sales]]&lt;=4000,Table1[[#This Row],[Sales]]&lt;2500),"Did not meet the target","met the target"))</f>
        <v>met the target</v>
      </c>
      <c r="K78">
        <f>Table1[[#This Row],[Sales]]-Table1[[#This Row],[Commission]]</f>
        <v>3066.8675506736167</v>
      </c>
      <c r="L78">
        <f>Table1[[#This Row],[Sales]]+Table1[[#This Row],[Commission]]-Table1[[#This Row],[Revenue]]</f>
        <v>310.26489865276653</v>
      </c>
      <c r="M78">
        <f>Table1[[#This Row],[Revenue]]-Table1[[#This Row],[Cost]]</f>
        <v>2756.6026520208502</v>
      </c>
    </row>
    <row r="79" spans="1:13" x14ac:dyDescent="0.3">
      <c r="A79" s="1">
        <v>44620</v>
      </c>
      <c r="B79">
        <f>YEAR(Table1[[#This Row],[Date]])</f>
        <v>2022</v>
      </c>
      <c r="C79" t="s">
        <v>60</v>
      </c>
      <c r="D79" t="s">
        <v>5</v>
      </c>
      <c r="E79" t="s">
        <v>8</v>
      </c>
      <c r="F79">
        <v>3599</v>
      </c>
      <c r="G79">
        <v>117.6512569454493</v>
      </c>
      <c r="H79" t="str">
        <f>VLOOKUP(Table1[[#This Row],[Manager]],Managers!$A$2:$B$9,2,FALSE)</f>
        <v>Rachella Green</v>
      </c>
      <c r="I79" t="str">
        <f>VLOOKUP(Table1[[#This Row],[Product]],Products!$A$2:$B$11,2,FALSE)</f>
        <v>Traditional English Trifle</v>
      </c>
      <c r="J79" t="str">
        <f>IF(Table1[[#This Row],[Sales]]&gt;4000,"Exceeded the target",IF(AND(Table1[[#This Row],[Sales]]&lt;=4000,Table1[[#This Row],[Sales]]&lt;2500),"Did not meet the target","met the target"))</f>
        <v>met the target</v>
      </c>
      <c r="K79">
        <f>Table1[[#This Row],[Sales]]-Table1[[#This Row],[Commission]]</f>
        <v>3481.3487430545506</v>
      </c>
      <c r="L79">
        <f>Table1[[#This Row],[Sales]]+Table1[[#This Row],[Commission]]-Table1[[#This Row],[Revenue]]</f>
        <v>235.30251389089881</v>
      </c>
      <c r="M79">
        <f>Table1[[#This Row],[Revenue]]-Table1[[#This Row],[Cost]]</f>
        <v>3246.0462291636518</v>
      </c>
    </row>
    <row r="80" spans="1:13" x14ac:dyDescent="0.3">
      <c r="A80" s="1">
        <v>44651</v>
      </c>
      <c r="B80">
        <f>YEAR(Table1[[#This Row],[Date]])</f>
        <v>2022</v>
      </c>
      <c r="C80" t="s">
        <v>61</v>
      </c>
      <c r="D80" t="s">
        <v>5</v>
      </c>
      <c r="E80" t="s">
        <v>9</v>
      </c>
      <c r="F80">
        <v>2871</v>
      </c>
      <c r="G80">
        <v>186.34520127157879</v>
      </c>
      <c r="H80" t="str">
        <f>VLOOKUP(Table1[[#This Row],[Manager]],Managers!$A$2:$B$9,2,FALSE)</f>
        <v>Rachella Green</v>
      </c>
      <c r="I80" t="str">
        <f>VLOOKUP(Table1[[#This Row],[Product]],Products!$A$2:$B$11,2,FALSE)</f>
        <v>Floor Cheesecake</v>
      </c>
      <c r="J80" t="str">
        <f>IF(Table1[[#This Row],[Sales]]&gt;4000,"Exceeded the target",IF(AND(Table1[[#This Row],[Sales]]&lt;=4000,Table1[[#This Row],[Sales]]&lt;2500),"Did not meet the target","met the target"))</f>
        <v>met the target</v>
      </c>
      <c r="K80">
        <f>Table1[[#This Row],[Sales]]-Table1[[#This Row],[Commission]]</f>
        <v>2684.6547987284212</v>
      </c>
      <c r="L80">
        <f>Table1[[#This Row],[Sales]]+Table1[[#This Row],[Commission]]-Table1[[#This Row],[Revenue]]</f>
        <v>372.69040254315769</v>
      </c>
      <c r="M80">
        <f>Table1[[#This Row],[Revenue]]-Table1[[#This Row],[Cost]]</f>
        <v>2311.9643961852635</v>
      </c>
    </row>
    <row r="81" spans="1:13" x14ac:dyDescent="0.3">
      <c r="A81" s="1">
        <v>44651</v>
      </c>
      <c r="B81">
        <f>YEAR(Table1[[#This Row],[Date]])</f>
        <v>2022</v>
      </c>
      <c r="C81" t="s">
        <v>62</v>
      </c>
      <c r="D81" t="s">
        <v>5</v>
      </c>
      <c r="E81" t="s">
        <v>10</v>
      </c>
      <c r="F81">
        <v>4503</v>
      </c>
      <c r="G81">
        <v>184.3603913109923</v>
      </c>
      <c r="H81" t="str">
        <f>VLOOKUP(Table1[[#This Row],[Manager]],Managers!$A$2:$B$9,2,FALSE)</f>
        <v>Rachella Green</v>
      </c>
      <c r="I81" t="str">
        <f>VLOOKUP(Table1[[#This Row],[Product]],Products!$A$2:$B$11,2,FALSE)</f>
        <v>Mockolate</v>
      </c>
      <c r="J81" t="str">
        <f>IF(Table1[[#This Row],[Sales]]&gt;4000,"Exceeded the target",IF(AND(Table1[[#This Row],[Sales]]&lt;=4000,Table1[[#This Row],[Sales]]&lt;2500),"Did not meet the target","met the target"))</f>
        <v>Exceeded the target</v>
      </c>
      <c r="K81">
        <f>Table1[[#This Row],[Sales]]-Table1[[#This Row],[Commission]]</f>
        <v>4318.6396086890081</v>
      </c>
      <c r="L81">
        <f>Table1[[#This Row],[Sales]]+Table1[[#This Row],[Commission]]-Table1[[#This Row],[Revenue]]</f>
        <v>368.72078262198374</v>
      </c>
      <c r="M81">
        <f>Table1[[#This Row],[Revenue]]-Table1[[#This Row],[Cost]]</f>
        <v>3949.9188260670244</v>
      </c>
    </row>
    <row r="82" spans="1:13" x14ac:dyDescent="0.3">
      <c r="A82" s="1">
        <v>44651</v>
      </c>
      <c r="B82">
        <f>YEAR(Table1[[#This Row],[Date]])</f>
        <v>2022</v>
      </c>
      <c r="C82" t="s">
        <v>63</v>
      </c>
      <c r="D82" t="s">
        <v>5</v>
      </c>
      <c r="E82" t="s">
        <v>8</v>
      </c>
      <c r="F82">
        <v>3046</v>
      </c>
      <c r="G82">
        <v>168.01514782314561</v>
      </c>
      <c r="H82" t="str">
        <f>VLOOKUP(Table1[[#This Row],[Manager]],Managers!$A$2:$B$9,2,FALSE)</f>
        <v>Rachella Green</v>
      </c>
      <c r="I82" t="str">
        <f>VLOOKUP(Table1[[#This Row],[Product]],Products!$A$2:$B$11,2,FALSE)</f>
        <v>Traditional English Trifle</v>
      </c>
      <c r="J82" t="str">
        <f>IF(Table1[[#This Row],[Sales]]&gt;4000,"Exceeded the target",IF(AND(Table1[[#This Row],[Sales]]&lt;=4000,Table1[[#This Row],[Sales]]&lt;2500),"Did not meet the target","met the target"))</f>
        <v>met the target</v>
      </c>
      <c r="K82">
        <f>Table1[[#This Row],[Sales]]-Table1[[#This Row],[Commission]]</f>
        <v>2877.9848521768545</v>
      </c>
      <c r="L82">
        <f>Table1[[#This Row],[Sales]]+Table1[[#This Row],[Commission]]-Table1[[#This Row],[Revenue]]</f>
        <v>336.03029564629105</v>
      </c>
      <c r="M82">
        <f>Table1[[#This Row],[Revenue]]-Table1[[#This Row],[Cost]]</f>
        <v>2541.9545565305634</v>
      </c>
    </row>
    <row r="83" spans="1:13" x14ac:dyDescent="0.3">
      <c r="A83" s="1">
        <v>44681</v>
      </c>
      <c r="B83">
        <f>YEAR(Table1[[#This Row],[Date]])</f>
        <v>2022</v>
      </c>
      <c r="C83" t="s">
        <v>64</v>
      </c>
      <c r="D83" t="s">
        <v>5</v>
      </c>
      <c r="E83" t="s">
        <v>8</v>
      </c>
      <c r="F83">
        <v>4337</v>
      </c>
      <c r="G83">
        <v>203.78443511901131</v>
      </c>
      <c r="H83" t="str">
        <f>VLOOKUP(Table1[[#This Row],[Manager]],Managers!$A$2:$B$9,2,FALSE)</f>
        <v>Rachella Green</v>
      </c>
      <c r="I83" t="str">
        <f>VLOOKUP(Table1[[#This Row],[Product]],Products!$A$2:$B$11,2,FALSE)</f>
        <v>Traditional English Trifle</v>
      </c>
      <c r="J83" t="str">
        <f>IF(Table1[[#This Row],[Sales]]&gt;4000,"Exceeded the target",IF(AND(Table1[[#This Row],[Sales]]&lt;=4000,Table1[[#This Row],[Sales]]&lt;2500),"Did not meet the target","met the target"))</f>
        <v>Exceeded the target</v>
      </c>
      <c r="K83">
        <f>Table1[[#This Row],[Sales]]-Table1[[#This Row],[Commission]]</f>
        <v>4133.2155648809885</v>
      </c>
      <c r="L83">
        <f>Table1[[#This Row],[Sales]]+Table1[[#This Row],[Commission]]-Table1[[#This Row],[Revenue]]</f>
        <v>407.56887023802301</v>
      </c>
      <c r="M83">
        <f>Table1[[#This Row],[Revenue]]-Table1[[#This Row],[Cost]]</f>
        <v>3725.6466946429655</v>
      </c>
    </row>
    <row r="84" spans="1:13" x14ac:dyDescent="0.3">
      <c r="A84" s="1">
        <v>44681</v>
      </c>
      <c r="B84">
        <f>YEAR(Table1[[#This Row],[Date]])</f>
        <v>2022</v>
      </c>
      <c r="C84" t="s">
        <v>65</v>
      </c>
      <c r="D84" t="s">
        <v>5</v>
      </c>
      <c r="E84" t="s">
        <v>9</v>
      </c>
      <c r="F84">
        <v>3745</v>
      </c>
      <c r="G84">
        <v>168.400663054067</v>
      </c>
      <c r="H84" t="str">
        <f>VLOOKUP(Table1[[#This Row],[Manager]],Managers!$A$2:$B$9,2,FALSE)</f>
        <v>Rachella Green</v>
      </c>
      <c r="I84" t="str">
        <f>VLOOKUP(Table1[[#This Row],[Product]],Products!$A$2:$B$11,2,FALSE)</f>
        <v>Floor Cheesecake</v>
      </c>
      <c r="J84" t="str">
        <f>IF(Table1[[#This Row],[Sales]]&gt;4000,"Exceeded the target",IF(AND(Table1[[#This Row],[Sales]]&lt;=4000,Table1[[#This Row],[Sales]]&lt;2500),"Did not meet the target","met the target"))</f>
        <v>met the target</v>
      </c>
      <c r="K84">
        <f>Table1[[#This Row],[Sales]]-Table1[[#This Row],[Commission]]</f>
        <v>3576.5993369459329</v>
      </c>
      <c r="L84">
        <f>Table1[[#This Row],[Sales]]+Table1[[#This Row],[Commission]]-Table1[[#This Row],[Revenue]]</f>
        <v>336.80132610813416</v>
      </c>
      <c r="M84">
        <f>Table1[[#This Row],[Revenue]]-Table1[[#This Row],[Cost]]</f>
        <v>3239.7980108377988</v>
      </c>
    </row>
    <row r="85" spans="1:13" x14ac:dyDescent="0.3">
      <c r="A85" s="1">
        <v>44681</v>
      </c>
      <c r="B85">
        <f>YEAR(Table1[[#This Row],[Date]])</f>
        <v>2022</v>
      </c>
      <c r="C85" t="s">
        <v>66</v>
      </c>
      <c r="D85" t="s">
        <v>5</v>
      </c>
      <c r="E85" t="s">
        <v>10</v>
      </c>
      <c r="F85">
        <v>1639</v>
      </c>
      <c r="G85">
        <v>79.562004821356993</v>
      </c>
      <c r="H85" t="str">
        <f>VLOOKUP(Table1[[#This Row],[Manager]],Managers!$A$2:$B$9,2,FALSE)</f>
        <v>Rachella Green</v>
      </c>
      <c r="I85" t="str">
        <f>VLOOKUP(Table1[[#This Row],[Product]],Products!$A$2:$B$11,2,FALSE)</f>
        <v>Mockolate</v>
      </c>
      <c r="J85" t="str">
        <f>IF(Table1[[#This Row],[Sales]]&gt;4000,"Exceeded the target",IF(AND(Table1[[#This Row],[Sales]]&lt;=4000,Table1[[#This Row],[Sales]]&lt;2500),"Did not meet the target","met the target"))</f>
        <v>Did not meet the target</v>
      </c>
      <c r="K85">
        <f>Table1[[#This Row],[Sales]]-Table1[[#This Row],[Commission]]</f>
        <v>1559.437995178643</v>
      </c>
      <c r="L85">
        <f>Table1[[#This Row],[Sales]]+Table1[[#This Row],[Commission]]-Table1[[#This Row],[Revenue]]</f>
        <v>159.1240096427141</v>
      </c>
      <c r="M85">
        <f>Table1[[#This Row],[Revenue]]-Table1[[#This Row],[Cost]]</f>
        <v>1400.3139855359289</v>
      </c>
    </row>
    <row r="86" spans="1:13" x14ac:dyDescent="0.3">
      <c r="A86" s="1">
        <v>44712</v>
      </c>
      <c r="B86">
        <f>YEAR(Table1[[#This Row],[Date]])</f>
        <v>2022</v>
      </c>
      <c r="C86" t="s">
        <v>55</v>
      </c>
      <c r="D86" t="s">
        <v>5</v>
      </c>
      <c r="E86" t="s">
        <v>9</v>
      </c>
      <c r="F86">
        <v>3176</v>
      </c>
      <c r="G86">
        <v>214.75247432491739</v>
      </c>
      <c r="H86" t="str">
        <f>VLOOKUP(Table1[[#This Row],[Manager]],Managers!$A$2:$B$9,2,FALSE)</f>
        <v>Rachella Green</v>
      </c>
      <c r="I86" t="str">
        <f>VLOOKUP(Table1[[#This Row],[Product]],Products!$A$2:$B$11,2,FALSE)</f>
        <v>Floor Cheesecake</v>
      </c>
      <c r="J86" t="str">
        <f>IF(Table1[[#This Row],[Sales]]&gt;4000,"Exceeded the target",IF(AND(Table1[[#This Row],[Sales]]&lt;=4000,Table1[[#This Row],[Sales]]&lt;2500),"Did not meet the target","met the target"))</f>
        <v>met the target</v>
      </c>
      <c r="K86">
        <f>Table1[[#This Row],[Sales]]-Table1[[#This Row],[Commission]]</f>
        <v>2961.2475256750827</v>
      </c>
      <c r="L86">
        <f>Table1[[#This Row],[Sales]]+Table1[[#This Row],[Commission]]-Table1[[#This Row],[Revenue]]</f>
        <v>429.50494864983466</v>
      </c>
      <c r="M86">
        <f>Table1[[#This Row],[Revenue]]-Table1[[#This Row],[Cost]]</f>
        <v>2531.742577025248</v>
      </c>
    </row>
    <row r="87" spans="1:13" x14ac:dyDescent="0.3">
      <c r="A87" s="1">
        <v>44712</v>
      </c>
      <c r="B87">
        <f>YEAR(Table1[[#This Row],[Date]])</f>
        <v>2022</v>
      </c>
      <c r="C87" t="s">
        <v>56</v>
      </c>
      <c r="D87" t="s">
        <v>5</v>
      </c>
      <c r="E87" t="s">
        <v>10</v>
      </c>
      <c r="F87">
        <v>2956</v>
      </c>
      <c r="G87">
        <v>179.1720580101356</v>
      </c>
      <c r="H87" t="str">
        <f>VLOOKUP(Table1[[#This Row],[Manager]],Managers!$A$2:$B$9,2,FALSE)</f>
        <v>Rachella Green</v>
      </c>
      <c r="I87" t="str">
        <f>VLOOKUP(Table1[[#This Row],[Product]],Products!$A$2:$B$11,2,FALSE)</f>
        <v>Mockolate</v>
      </c>
      <c r="J87" t="str">
        <f>IF(Table1[[#This Row],[Sales]]&gt;4000,"Exceeded the target",IF(AND(Table1[[#This Row],[Sales]]&lt;=4000,Table1[[#This Row],[Sales]]&lt;2500),"Did not meet the target","met the target"))</f>
        <v>met the target</v>
      </c>
      <c r="K87">
        <f>Table1[[#This Row],[Sales]]-Table1[[#This Row],[Commission]]</f>
        <v>2776.8279419898645</v>
      </c>
      <c r="L87">
        <f>Table1[[#This Row],[Sales]]+Table1[[#This Row],[Commission]]-Table1[[#This Row],[Revenue]]</f>
        <v>358.34411602027103</v>
      </c>
      <c r="M87">
        <f>Table1[[#This Row],[Revenue]]-Table1[[#This Row],[Cost]]</f>
        <v>2418.4838259695935</v>
      </c>
    </row>
    <row r="88" spans="1:13" x14ac:dyDescent="0.3">
      <c r="A88" s="1">
        <v>44712</v>
      </c>
      <c r="B88">
        <f>YEAR(Table1[[#This Row],[Date]])</f>
        <v>2022</v>
      </c>
      <c r="C88" t="s">
        <v>57</v>
      </c>
      <c r="D88" t="s">
        <v>5</v>
      </c>
      <c r="E88" t="s">
        <v>8</v>
      </c>
      <c r="F88">
        <v>3176</v>
      </c>
      <c r="G88">
        <v>140.4570422164584</v>
      </c>
      <c r="H88" t="str">
        <f>VLOOKUP(Table1[[#This Row],[Manager]],Managers!$A$2:$B$9,2,FALSE)</f>
        <v>Rachella Green</v>
      </c>
      <c r="I88" t="str">
        <f>VLOOKUP(Table1[[#This Row],[Product]],Products!$A$2:$B$11,2,FALSE)</f>
        <v>Traditional English Trifle</v>
      </c>
      <c r="J88" t="str">
        <f>IF(Table1[[#This Row],[Sales]]&gt;4000,"Exceeded the target",IF(AND(Table1[[#This Row],[Sales]]&lt;=4000,Table1[[#This Row],[Sales]]&lt;2500),"Did not meet the target","met the target"))</f>
        <v>met the target</v>
      </c>
      <c r="K88">
        <f>Table1[[#This Row],[Sales]]-Table1[[#This Row],[Commission]]</f>
        <v>3035.5429577835416</v>
      </c>
      <c r="L88">
        <f>Table1[[#This Row],[Sales]]+Table1[[#This Row],[Commission]]-Table1[[#This Row],[Revenue]]</f>
        <v>280.91408443291675</v>
      </c>
      <c r="M88">
        <f>Table1[[#This Row],[Revenue]]-Table1[[#This Row],[Cost]]</f>
        <v>2754.6288733506249</v>
      </c>
    </row>
    <row r="89" spans="1:13" x14ac:dyDescent="0.3">
      <c r="A89" s="1">
        <v>44742</v>
      </c>
      <c r="B89">
        <f>YEAR(Table1[[#This Row],[Date]])</f>
        <v>2022</v>
      </c>
      <c r="C89" t="s">
        <v>58</v>
      </c>
      <c r="D89" t="s">
        <v>5</v>
      </c>
      <c r="E89" t="s">
        <v>10</v>
      </c>
      <c r="F89">
        <v>2345</v>
      </c>
      <c r="G89">
        <v>125.3552735882775</v>
      </c>
      <c r="H89" t="str">
        <f>VLOOKUP(Table1[[#This Row],[Manager]],Managers!$A$2:$B$9,2,FALSE)</f>
        <v>Rachella Green</v>
      </c>
      <c r="I89" t="str">
        <f>VLOOKUP(Table1[[#This Row],[Product]],Products!$A$2:$B$11,2,FALSE)</f>
        <v>Mockolate</v>
      </c>
      <c r="J89" t="str">
        <f>IF(Table1[[#This Row],[Sales]]&gt;4000,"Exceeded the target",IF(AND(Table1[[#This Row],[Sales]]&lt;=4000,Table1[[#This Row],[Sales]]&lt;2500),"Did not meet the target","met the target"))</f>
        <v>Did not meet the target</v>
      </c>
      <c r="K89">
        <f>Table1[[#This Row],[Sales]]-Table1[[#This Row],[Commission]]</f>
        <v>2219.6447264117223</v>
      </c>
      <c r="L89">
        <f>Table1[[#This Row],[Sales]]+Table1[[#This Row],[Commission]]-Table1[[#This Row],[Revenue]]</f>
        <v>250.71054717655534</v>
      </c>
      <c r="M89">
        <f>Table1[[#This Row],[Revenue]]-Table1[[#This Row],[Cost]]</f>
        <v>1968.934179235167</v>
      </c>
    </row>
    <row r="90" spans="1:13" x14ac:dyDescent="0.3">
      <c r="A90" s="1">
        <v>44742</v>
      </c>
      <c r="B90">
        <f>YEAR(Table1[[#This Row],[Date]])</f>
        <v>2022</v>
      </c>
      <c r="C90" t="s">
        <v>59</v>
      </c>
      <c r="D90" t="s">
        <v>5</v>
      </c>
      <c r="E90" t="s">
        <v>8</v>
      </c>
      <c r="F90">
        <v>1888</v>
      </c>
      <c r="G90">
        <v>115.9347479159874</v>
      </c>
      <c r="H90" t="str">
        <f>VLOOKUP(Table1[[#This Row],[Manager]],Managers!$A$2:$B$9,2,FALSE)</f>
        <v>Rachella Green</v>
      </c>
      <c r="I90" t="str">
        <f>VLOOKUP(Table1[[#This Row],[Product]],Products!$A$2:$B$11,2,FALSE)</f>
        <v>Traditional English Trifle</v>
      </c>
      <c r="J90" t="str">
        <f>IF(Table1[[#This Row],[Sales]]&gt;4000,"Exceeded the target",IF(AND(Table1[[#This Row],[Sales]]&lt;=4000,Table1[[#This Row],[Sales]]&lt;2500),"Did not meet the target","met the target"))</f>
        <v>Did not meet the target</v>
      </c>
      <c r="K90">
        <f>Table1[[#This Row],[Sales]]-Table1[[#This Row],[Commission]]</f>
        <v>1772.0652520840126</v>
      </c>
      <c r="L90">
        <f>Table1[[#This Row],[Sales]]+Table1[[#This Row],[Commission]]-Table1[[#This Row],[Revenue]]</f>
        <v>231.86949583197475</v>
      </c>
      <c r="M90">
        <f>Table1[[#This Row],[Revenue]]-Table1[[#This Row],[Cost]]</f>
        <v>1540.1957562520379</v>
      </c>
    </row>
    <row r="91" spans="1:13" x14ac:dyDescent="0.3">
      <c r="A91" s="1">
        <v>44742</v>
      </c>
      <c r="B91">
        <f>YEAR(Table1[[#This Row],[Date]])</f>
        <v>2022</v>
      </c>
      <c r="C91" t="s">
        <v>60</v>
      </c>
      <c r="D91" t="s">
        <v>5</v>
      </c>
      <c r="E91" t="s">
        <v>9</v>
      </c>
      <c r="F91">
        <v>1257</v>
      </c>
      <c r="G91">
        <v>51.875389717308558</v>
      </c>
      <c r="H91" t="str">
        <f>VLOOKUP(Table1[[#This Row],[Manager]],Managers!$A$2:$B$9,2,FALSE)</f>
        <v>Rachella Green</v>
      </c>
      <c r="I91" t="str">
        <f>VLOOKUP(Table1[[#This Row],[Product]],Products!$A$2:$B$11,2,FALSE)</f>
        <v>Floor Cheesecake</v>
      </c>
      <c r="J91" t="str">
        <f>IF(Table1[[#This Row],[Sales]]&gt;4000,"Exceeded the target",IF(AND(Table1[[#This Row],[Sales]]&lt;=4000,Table1[[#This Row],[Sales]]&lt;2500),"Did not meet the target","met the target"))</f>
        <v>Did not meet the target</v>
      </c>
      <c r="K91">
        <f>Table1[[#This Row],[Sales]]-Table1[[#This Row],[Commission]]</f>
        <v>1205.1246102826915</v>
      </c>
      <c r="L91">
        <f>Table1[[#This Row],[Sales]]+Table1[[#This Row],[Commission]]-Table1[[#This Row],[Revenue]]</f>
        <v>103.75077943461702</v>
      </c>
      <c r="M91">
        <f>Table1[[#This Row],[Revenue]]-Table1[[#This Row],[Cost]]</f>
        <v>1101.3738308480745</v>
      </c>
    </row>
    <row r="92" spans="1:13" x14ac:dyDescent="0.3">
      <c r="A92" s="1">
        <v>44773</v>
      </c>
      <c r="B92">
        <f>YEAR(Table1[[#This Row],[Date]])</f>
        <v>2022</v>
      </c>
      <c r="C92" t="s">
        <v>61</v>
      </c>
      <c r="D92" t="s">
        <v>5</v>
      </c>
      <c r="E92" t="s">
        <v>9</v>
      </c>
      <c r="F92">
        <v>3681</v>
      </c>
      <c r="G92">
        <v>235.42844908427409</v>
      </c>
      <c r="H92" t="str">
        <f>VLOOKUP(Table1[[#This Row],[Manager]],Managers!$A$2:$B$9,2,FALSE)</f>
        <v>Rachella Green</v>
      </c>
      <c r="I92" t="str">
        <f>VLOOKUP(Table1[[#This Row],[Product]],Products!$A$2:$B$11,2,FALSE)</f>
        <v>Floor Cheesecake</v>
      </c>
      <c r="J92" t="str">
        <f>IF(Table1[[#This Row],[Sales]]&gt;4000,"Exceeded the target",IF(AND(Table1[[#This Row],[Sales]]&lt;=4000,Table1[[#This Row],[Sales]]&lt;2500),"Did not meet the target","met the target"))</f>
        <v>met the target</v>
      </c>
      <c r="K92">
        <f>Table1[[#This Row],[Sales]]-Table1[[#This Row],[Commission]]</f>
        <v>3445.5715509157258</v>
      </c>
      <c r="L92">
        <f>Table1[[#This Row],[Sales]]+Table1[[#This Row],[Commission]]-Table1[[#This Row],[Revenue]]</f>
        <v>470.85689816854847</v>
      </c>
      <c r="M92">
        <f>Table1[[#This Row],[Revenue]]-Table1[[#This Row],[Cost]]</f>
        <v>2974.7146527471773</v>
      </c>
    </row>
    <row r="93" spans="1:13" x14ac:dyDescent="0.3">
      <c r="A93" s="1">
        <v>44773</v>
      </c>
      <c r="B93">
        <f>YEAR(Table1[[#This Row],[Date]])</f>
        <v>2022</v>
      </c>
      <c r="C93" t="s">
        <v>62</v>
      </c>
      <c r="D93" t="s">
        <v>5</v>
      </c>
      <c r="E93" t="s">
        <v>8</v>
      </c>
      <c r="F93">
        <v>3956</v>
      </c>
      <c r="G93">
        <v>165.04752982051369</v>
      </c>
      <c r="H93" t="str">
        <f>VLOOKUP(Table1[[#This Row],[Manager]],Managers!$A$2:$B$9,2,FALSE)</f>
        <v>Rachella Green</v>
      </c>
      <c r="I93" t="str">
        <f>VLOOKUP(Table1[[#This Row],[Product]],Products!$A$2:$B$11,2,FALSE)</f>
        <v>Traditional English Trifle</v>
      </c>
      <c r="J93" t="str">
        <f>IF(Table1[[#This Row],[Sales]]&gt;4000,"Exceeded the target",IF(AND(Table1[[#This Row],[Sales]]&lt;=4000,Table1[[#This Row],[Sales]]&lt;2500),"Did not meet the target","met the target"))</f>
        <v>met the target</v>
      </c>
      <c r="K93">
        <f>Table1[[#This Row],[Sales]]-Table1[[#This Row],[Commission]]</f>
        <v>3790.9524701794862</v>
      </c>
      <c r="L93">
        <f>Table1[[#This Row],[Sales]]+Table1[[#This Row],[Commission]]-Table1[[#This Row],[Revenue]]</f>
        <v>330.09505964102755</v>
      </c>
      <c r="M93">
        <f>Table1[[#This Row],[Revenue]]-Table1[[#This Row],[Cost]]</f>
        <v>3460.8574105384587</v>
      </c>
    </row>
    <row r="94" spans="1:13" x14ac:dyDescent="0.3">
      <c r="A94" s="1">
        <v>44773</v>
      </c>
      <c r="B94">
        <f>YEAR(Table1[[#This Row],[Date]])</f>
        <v>2022</v>
      </c>
      <c r="C94" t="s">
        <v>63</v>
      </c>
      <c r="D94" t="s">
        <v>5</v>
      </c>
      <c r="E94" t="s">
        <v>10</v>
      </c>
      <c r="F94">
        <v>1084</v>
      </c>
      <c r="G94">
        <v>59.311133361543831</v>
      </c>
      <c r="H94" t="str">
        <f>VLOOKUP(Table1[[#This Row],[Manager]],Managers!$A$2:$B$9,2,FALSE)</f>
        <v>Rachella Green</v>
      </c>
      <c r="I94" t="str">
        <f>VLOOKUP(Table1[[#This Row],[Product]],Products!$A$2:$B$11,2,FALSE)</f>
        <v>Mockolate</v>
      </c>
      <c r="J94" t="str">
        <f>IF(Table1[[#This Row],[Sales]]&gt;4000,"Exceeded the target",IF(AND(Table1[[#This Row],[Sales]]&lt;=4000,Table1[[#This Row],[Sales]]&lt;2500),"Did not meet the target","met the target"))</f>
        <v>Did not meet the target</v>
      </c>
      <c r="K94">
        <f>Table1[[#This Row],[Sales]]-Table1[[#This Row],[Commission]]</f>
        <v>1024.6888666384561</v>
      </c>
      <c r="L94">
        <f>Table1[[#This Row],[Sales]]+Table1[[#This Row],[Commission]]-Table1[[#This Row],[Revenue]]</f>
        <v>118.62226672308771</v>
      </c>
      <c r="M94">
        <f>Table1[[#This Row],[Revenue]]-Table1[[#This Row],[Cost]]</f>
        <v>906.06659991536844</v>
      </c>
    </row>
    <row r="95" spans="1:13" x14ac:dyDescent="0.3">
      <c r="A95" s="1">
        <v>44804</v>
      </c>
      <c r="B95">
        <f>YEAR(Table1[[#This Row],[Date]])</f>
        <v>2022</v>
      </c>
      <c r="C95" t="s">
        <v>64</v>
      </c>
      <c r="D95" t="s">
        <v>5</v>
      </c>
      <c r="E95" t="s">
        <v>8</v>
      </c>
      <c r="F95">
        <v>4918</v>
      </c>
      <c r="G95">
        <v>191.6676459399107</v>
      </c>
      <c r="H95" t="str">
        <f>VLOOKUP(Table1[[#This Row],[Manager]],Managers!$A$2:$B$9,2,FALSE)</f>
        <v>Rachella Green</v>
      </c>
      <c r="I95" t="str">
        <f>VLOOKUP(Table1[[#This Row],[Product]],Products!$A$2:$B$11,2,FALSE)</f>
        <v>Traditional English Trifle</v>
      </c>
      <c r="J95" t="str">
        <f>IF(Table1[[#This Row],[Sales]]&gt;4000,"Exceeded the target",IF(AND(Table1[[#This Row],[Sales]]&lt;=4000,Table1[[#This Row],[Sales]]&lt;2500),"Did not meet the target","met the target"))</f>
        <v>Exceeded the target</v>
      </c>
      <c r="K95">
        <f>Table1[[#This Row],[Sales]]-Table1[[#This Row],[Commission]]</f>
        <v>4726.3323540600895</v>
      </c>
      <c r="L95">
        <f>Table1[[#This Row],[Sales]]+Table1[[#This Row],[Commission]]-Table1[[#This Row],[Revenue]]</f>
        <v>383.33529187982094</v>
      </c>
      <c r="M95">
        <f>Table1[[#This Row],[Revenue]]-Table1[[#This Row],[Cost]]</f>
        <v>4342.9970621802686</v>
      </c>
    </row>
    <row r="96" spans="1:13" x14ac:dyDescent="0.3">
      <c r="A96" s="1">
        <v>44804</v>
      </c>
      <c r="B96">
        <f>YEAR(Table1[[#This Row],[Date]])</f>
        <v>2022</v>
      </c>
      <c r="C96" t="s">
        <v>65</v>
      </c>
      <c r="D96" t="s">
        <v>5</v>
      </c>
      <c r="E96" t="s">
        <v>10</v>
      </c>
      <c r="F96">
        <v>2684</v>
      </c>
      <c r="G96">
        <v>173.08488131039189</v>
      </c>
      <c r="H96" t="str">
        <f>VLOOKUP(Table1[[#This Row],[Manager]],Managers!$A$2:$B$9,2,FALSE)</f>
        <v>Rachella Green</v>
      </c>
      <c r="I96" t="str">
        <f>VLOOKUP(Table1[[#This Row],[Product]],Products!$A$2:$B$11,2,FALSE)</f>
        <v>Mockolate</v>
      </c>
      <c r="J96" t="str">
        <f>IF(Table1[[#This Row],[Sales]]&gt;4000,"Exceeded the target",IF(AND(Table1[[#This Row],[Sales]]&lt;=4000,Table1[[#This Row],[Sales]]&lt;2500),"Did not meet the target","met the target"))</f>
        <v>met the target</v>
      </c>
      <c r="K96">
        <f>Table1[[#This Row],[Sales]]-Table1[[#This Row],[Commission]]</f>
        <v>2510.9151186896079</v>
      </c>
      <c r="L96">
        <f>Table1[[#This Row],[Sales]]+Table1[[#This Row],[Commission]]-Table1[[#This Row],[Revenue]]</f>
        <v>346.16976262078424</v>
      </c>
      <c r="M96">
        <f>Table1[[#This Row],[Revenue]]-Table1[[#This Row],[Cost]]</f>
        <v>2164.7453560688236</v>
      </c>
    </row>
    <row r="97" spans="1:13" x14ac:dyDescent="0.3">
      <c r="A97" s="1">
        <v>44804</v>
      </c>
      <c r="B97">
        <f>YEAR(Table1[[#This Row],[Date]])</f>
        <v>2022</v>
      </c>
      <c r="C97" t="s">
        <v>66</v>
      </c>
      <c r="D97" t="s">
        <v>5</v>
      </c>
      <c r="E97" t="s">
        <v>9</v>
      </c>
      <c r="F97">
        <v>2167</v>
      </c>
      <c r="G97">
        <v>73.491159915942859</v>
      </c>
      <c r="H97" t="str">
        <f>VLOOKUP(Table1[[#This Row],[Manager]],Managers!$A$2:$B$9,2,FALSE)</f>
        <v>Rachella Green</v>
      </c>
      <c r="I97" t="str">
        <f>VLOOKUP(Table1[[#This Row],[Product]],Products!$A$2:$B$11,2,FALSE)</f>
        <v>Floor Cheesecake</v>
      </c>
      <c r="J97" t="str">
        <f>IF(Table1[[#This Row],[Sales]]&gt;4000,"Exceeded the target",IF(AND(Table1[[#This Row],[Sales]]&lt;=4000,Table1[[#This Row],[Sales]]&lt;2500),"Did not meet the target","met the target"))</f>
        <v>Did not meet the target</v>
      </c>
      <c r="K97">
        <f>Table1[[#This Row],[Sales]]-Table1[[#This Row],[Commission]]</f>
        <v>2093.5088400840573</v>
      </c>
      <c r="L97">
        <f>Table1[[#This Row],[Sales]]+Table1[[#This Row],[Commission]]-Table1[[#This Row],[Revenue]]</f>
        <v>146.98231983188543</v>
      </c>
      <c r="M97">
        <f>Table1[[#This Row],[Revenue]]-Table1[[#This Row],[Cost]]</f>
        <v>1946.5265202521718</v>
      </c>
    </row>
    <row r="98" spans="1:13" x14ac:dyDescent="0.3">
      <c r="A98" s="1">
        <v>44834</v>
      </c>
      <c r="B98">
        <f>YEAR(Table1[[#This Row],[Date]])</f>
        <v>2022</v>
      </c>
      <c r="C98" t="s">
        <v>55</v>
      </c>
      <c r="D98" t="s">
        <v>5</v>
      </c>
      <c r="E98" t="s">
        <v>8</v>
      </c>
      <c r="F98">
        <v>2472</v>
      </c>
      <c r="G98">
        <v>150.3550244119545</v>
      </c>
      <c r="H98" t="str">
        <f>VLOOKUP(Table1[[#This Row],[Manager]],Managers!$A$2:$B$9,2,FALSE)</f>
        <v>Rachella Green</v>
      </c>
      <c r="I98" t="str">
        <f>VLOOKUP(Table1[[#This Row],[Product]],Products!$A$2:$B$11,2,FALSE)</f>
        <v>Traditional English Trifle</v>
      </c>
      <c r="J98" t="str">
        <f>IF(Table1[[#This Row],[Sales]]&gt;4000,"Exceeded the target",IF(AND(Table1[[#This Row],[Sales]]&lt;=4000,Table1[[#This Row],[Sales]]&lt;2500),"Did not meet the target","met the target"))</f>
        <v>Did not meet the target</v>
      </c>
      <c r="K98">
        <f>Table1[[#This Row],[Sales]]-Table1[[#This Row],[Commission]]</f>
        <v>2321.6449755880453</v>
      </c>
      <c r="L98">
        <f>Table1[[#This Row],[Sales]]+Table1[[#This Row],[Commission]]-Table1[[#This Row],[Revenue]]</f>
        <v>300.71004882390935</v>
      </c>
      <c r="M98">
        <f>Table1[[#This Row],[Revenue]]-Table1[[#This Row],[Cost]]</f>
        <v>2020.934926764136</v>
      </c>
    </row>
    <row r="99" spans="1:13" x14ac:dyDescent="0.3">
      <c r="A99" s="1">
        <v>44834</v>
      </c>
      <c r="B99">
        <f>YEAR(Table1[[#This Row],[Date]])</f>
        <v>2022</v>
      </c>
      <c r="C99" t="s">
        <v>56</v>
      </c>
      <c r="D99" t="s">
        <v>5</v>
      </c>
      <c r="E99" t="s">
        <v>9</v>
      </c>
      <c r="F99">
        <v>4167</v>
      </c>
      <c r="G99">
        <v>149.50306685533451</v>
      </c>
      <c r="H99" t="str">
        <f>VLOOKUP(Table1[[#This Row],[Manager]],Managers!$A$2:$B$9,2,FALSE)</f>
        <v>Rachella Green</v>
      </c>
      <c r="I99" t="str">
        <f>VLOOKUP(Table1[[#This Row],[Product]],Products!$A$2:$B$11,2,FALSE)</f>
        <v>Floor Cheesecake</v>
      </c>
      <c r="J99" t="str">
        <f>IF(Table1[[#This Row],[Sales]]&gt;4000,"Exceeded the target",IF(AND(Table1[[#This Row],[Sales]]&lt;=4000,Table1[[#This Row],[Sales]]&lt;2500),"Did not meet the target","met the target"))</f>
        <v>Exceeded the target</v>
      </c>
      <c r="K99">
        <f>Table1[[#This Row],[Sales]]-Table1[[#This Row],[Commission]]</f>
        <v>4017.4969331446655</v>
      </c>
      <c r="L99">
        <f>Table1[[#This Row],[Sales]]+Table1[[#This Row],[Commission]]-Table1[[#This Row],[Revenue]]</f>
        <v>299.00613371066902</v>
      </c>
      <c r="M99">
        <f>Table1[[#This Row],[Revenue]]-Table1[[#This Row],[Cost]]</f>
        <v>3718.4907994339965</v>
      </c>
    </row>
    <row r="100" spans="1:13" x14ac:dyDescent="0.3">
      <c r="A100" s="1">
        <v>44834</v>
      </c>
      <c r="B100">
        <f>YEAR(Table1[[#This Row],[Date]])</f>
        <v>2022</v>
      </c>
      <c r="C100" t="s">
        <v>57</v>
      </c>
      <c r="D100" t="s">
        <v>5</v>
      </c>
      <c r="E100" t="s">
        <v>10</v>
      </c>
      <c r="F100">
        <v>4269</v>
      </c>
      <c r="G100">
        <v>141.64919082251441</v>
      </c>
      <c r="H100" t="str">
        <f>VLOOKUP(Table1[[#This Row],[Manager]],Managers!$A$2:$B$9,2,FALSE)</f>
        <v>Rachella Green</v>
      </c>
      <c r="I100" t="str">
        <f>VLOOKUP(Table1[[#This Row],[Product]],Products!$A$2:$B$11,2,FALSE)</f>
        <v>Mockolate</v>
      </c>
      <c r="J100" t="str">
        <f>IF(Table1[[#This Row],[Sales]]&gt;4000,"Exceeded the target",IF(AND(Table1[[#This Row],[Sales]]&lt;=4000,Table1[[#This Row],[Sales]]&lt;2500),"Did not meet the target","met the target"))</f>
        <v>Exceeded the target</v>
      </c>
      <c r="K100">
        <f>Table1[[#This Row],[Sales]]-Table1[[#This Row],[Commission]]</f>
        <v>4127.3508091774856</v>
      </c>
      <c r="L100">
        <f>Table1[[#This Row],[Sales]]+Table1[[#This Row],[Commission]]-Table1[[#This Row],[Revenue]]</f>
        <v>283.29838164502871</v>
      </c>
      <c r="M100">
        <f>Table1[[#This Row],[Revenue]]-Table1[[#This Row],[Cost]]</f>
        <v>3844.0524275324569</v>
      </c>
    </row>
    <row r="101" spans="1:13" x14ac:dyDescent="0.3">
      <c r="A101" s="1">
        <v>44865</v>
      </c>
      <c r="B101">
        <f>YEAR(Table1[[#This Row],[Date]])</f>
        <v>2022</v>
      </c>
      <c r="C101" t="s">
        <v>58</v>
      </c>
      <c r="D101" t="s">
        <v>5</v>
      </c>
      <c r="E101" t="s">
        <v>10</v>
      </c>
      <c r="F101">
        <v>3965</v>
      </c>
      <c r="G101">
        <v>229.27619567832281</v>
      </c>
      <c r="H101" t="str">
        <f>VLOOKUP(Table1[[#This Row],[Manager]],Managers!$A$2:$B$9,2,FALSE)</f>
        <v>Rachella Green</v>
      </c>
      <c r="I101" t="str">
        <f>VLOOKUP(Table1[[#This Row],[Product]],Products!$A$2:$B$11,2,FALSE)</f>
        <v>Mockolate</v>
      </c>
      <c r="J101" t="str">
        <f>IF(Table1[[#This Row],[Sales]]&gt;4000,"Exceeded the target",IF(AND(Table1[[#This Row],[Sales]]&lt;=4000,Table1[[#This Row],[Sales]]&lt;2500),"Did not meet the target","met the target"))</f>
        <v>met the target</v>
      </c>
      <c r="K101">
        <f>Table1[[#This Row],[Sales]]-Table1[[#This Row],[Commission]]</f>
        <v>3735.7238043216771</v>
      </c>
      <c r="L101">
        <f>Table1[[#This Row],[Sales]]+Table1[[#This Row],[Commission]]-Table1[[#This Row],[Revenue]]</f>
        <v>458.55239135664533</v>
      </c>
      <c r="M101">
        <f>Table1[[#This Row],[Revenue]]-Table1[[#This Row],[Cost]]</f>
        <v>3277.1714129650318</v>
      </c>
    </row>
    <row r="102" spans="1:13" x14ac:dyDescent="0.3">
      <c r="A102" s="1">
        <v>44865</v>
      </c>
      <c r="B102">
        <f>YEAR(Table1[[#This Row],[Date]])</f>
        <v>2022</v>
      </c>
      <c r="C102" t="s">
        <v>59</v>
      </c>
      <c r="D102" t="s">
        <v>5</v>
      </c>
      <c r="E102" t="s">
        <v>9</v>
      </c>
      <c r="F102">
        <v>3023</v>
      </c>
      <c r="G102">
        <v>173.31237909442549</v>
      </c>
      <c r="H102" t="str">
        <f>VLOOKUP(Table1[[#This Row],[Manager]],Managers!$A$2:$B$9,2,FALSE)</f>
        <v>Rachella Green</v>
      </c>
      <c r="I102" t="str">
        <f>VLOOKUP(Table1[[#This Row],[Product]],Products!$A$2:$B$11,2,FALSE)</f>
        <v>Floor Cheesecake</v>
      </c>
      <c r="J102" t="str">
        <f>IF(Table1[[#This Row],[Sales]]&gt;4000,"Exceeded the target",IF(AND(Table1[[#This Row],[Sales]]&lt;=4000,Table1[[#This Row],[Sales]]&lt;2500),"Did not meet the target","met the target"))</f>
        <v>met the target</v>
      </c>
      <c r="K102">
        <f>Table1[[#This Row],[Sales]]-Table1[[#This Row],[Commission]]</f>
        <v>2849.6876209055745</v>
      </c>
      <c r="L102">
        <f>Table1[[#This Row],[Sales]]+Table1[[#This Row],[Commission]]-Table1[[#This Row],[Revenue]]</f>
        <v>346.62475818885105</v>
      </c>
      <c r="M102">
        <f>Table1[[#This Row],[Revenue]]-Table1[[#This Row],[Cost]]</f>
        <v>2503.0628627167234</v>
      </c>
    </row>
    <row r="103" spans="1:13" x14ac:dyDescent="0.3">
      <c r="A103" s="1">
        <v>44865</v>
      </c>
      <c r="B103">
        <f>YEAR(Table1[[#This Row],[Date]])</f>
        <v>2022</v>
      </c>
      <c r="C103" t="s">
        <v>60</v>
      </c>
      <c r="D103" t="s">
        <v>5</v>
      </c>
      <c r="E103" t="s">
        <v>8</v>
      </c>
      <c r="F103">
        <v>1368</v>
      </c>
      <c r="G103">
        <v>66.000011815322239</v>
      </c>
      <c r="H103" t="str">
        <f>VLOOKUP(Table1[[#This Row],[Manager]],Managers!$A$2:$B$9,2,FALSE)</f>
        <v>Rachella Green</v>
      </c>
      <c r="I103" t="str">
        <f>VLOOKUP(Table1[[#This Row],[Product]],Products!$A$2:$B$11,2,FALSE)</f>
        <v>Traditional English Trifle</v>
      </c>
      <c r="J103" t="str">
        <f>IF(Table1[[#This Row],[Sales]]&gt;4000,"Exceeded the target",IF(AND(Table1[[#This Row],[Sales]]&lt;=4000,Table1[[#This Row],[Sales]]&lt;2500),"Did not meet the target","met the target"))</f>
        <v>Did not meet the target</v>
      </c>
      <c r="K103">
        <f>Table1[[#This Row],[Sales]]-Table1[[#This Row],[Commission]]</f>
        <v>1301.9999881846777</v>
      </c>
      <c r="L103">
        <f>Table1[[#This Row],[Sales]]+Table1[[#This Row],[Commission]]-Table1[[#This Row],[Revenue]]</f>
        <v>132.00002363064459</v>
      </c>
      <c r="M103">
        <f>Table1[[#This Row],[Revenue]]-Table1[[#This Row],[Cost]]</f>
        <v>1169.9999645540331</v>
      </c>
    </row>
    <row r="104" spans="1:13" x14ac:dyDescent="0.3">
      <c r="A104" s="1">
        <v>44895</v>
      </c>
      <c r="B104">
        <f>YEAR(Table1[[#This Row],[Date]])</f>
        <v>2022</v>
      </c>
      <c r="C104" t="s">
        <v>61</v>
      </c>
      <c r="D104" t="s">
        <v>5</v>
      </c>
      <c r="E104" t="s">
        <v>9</v>
      </c>
      <c r="F104">
        <v>4646</v>
      </c>
      <c r="G104">
        <v>176.00056742969929</v>
      </c>
      <c r="H104" t="str">
        <f>VLOOKUP(Table1[[#This Row],[Manager]],Managers!$A$2:$B$9,2,FALSE)</f>
        <v>Rachella Green</v>
      </c>
      <c r="I104" t="str">
        <f>VLOOKUP(Table1[[#This Row],[Product]],Products!$A$2:$B$11,2,FALSE)</f>
        <v>Floor Cheesecake</v>
      </c>
      <c r="J104" t="str">
        <f>IF(Table1[[#This Row],[Sales]]&gt;4000,"Exceeded the target",IF(AND(Table1[[#This Row],[Sales]]&lt;=4000,Table1[[#This Row],[Sales]]&lt;2500),"Did not meet the target","met the target"))</f>
        <v>Exceeded the target</v>
      </c>
      <c r="K104">
        <f>Table1[[#This Row],[Sales]]-Table1[[#This Row],[Commission]]</f>
        <v>4469.999432570301</v>
      </c>
      <c r="L104">
        <f>Table1[[#This Row],[Sales]]+Table1[[#This Row],[Commission]]-Table1[[#This Row],[Revenue]]</f>
        <v>352.00113485939801</v>
      </c>
      <c r="M104">
        <f>Table1[[#This Row],[Revenue]]-Table1[[#This Row],[Cost]]</f>
        <v>4117.998297710903</v>
      </c>
    </row>
    <row r="105" spans="1:13" x14ac:dyDescent="0.3">
      <c r="A105" s="1">
        <v>44895</v>
      </c>
      <c r="B105">
        <f>YEAR(Table1[[#This Row],[Date]])</f>
        <v>2022</v>
      </c>
      <c r="C105" t="s">
        <v>62</v>
      </c>
      <c r="D105" t="s">
        <v>5</v>
      </c>
      <c r="E105" t="s">
        <v>8</v>
      </c>
      <c r="F105">
        <v>3146</v>
      </c>
      <c r="G105">
        <v>141.04811625357911</v>
      </c>
      <c r="H105" t="str">
        <f>VLOOKUP(Table1[[#This Row],[Manager]],Managers!$A$2:$B$9,2,FALSE)</f>
        <v>Rachella Green</v>
      </c>
      <c r="I105" t="str">
        <f>VLOOKUP(Table1[[#This Row],[Product]],Products!$A$2:$B$11,2,FALSE)</f>
        <v>Traditional English Trifle</v>
      </c>
      <c r="J105" t="str">
        <f>IF(Table1[[#This Row],[Sales]]&gt;4000,"Exceeded the target",IF(AND(Table1[[#This Row],[Sales]]&lt;=4000,Table1[[#This Row],[Sales]]&lt;2500),"Did not meet the target","met the target"))</f>
        <v>met the target</v>
      </c>
      <c r="K105">
        <f>Table1[[#This Row],[Sales]]-Table1[[#This Row],[Commission]]</f>
        <v>3004.9518837464211</v>
      </c>
      <c r="L105">
        <f>Table1[[#This Row],[Sales]]+Table1[[#This Row],[Commission]]-Table1[[#This Row],[Revenue]]</f>
        <v>282.09623250715777</v>
      </c>
      <c r="M105">
        <f>Table1[[#This Row],[Revenue]]-Table1[[#This Row],[Cost]]</f>
        <v>2722.8556512392634</v>
      </c>
    </row>
    <row r="106" spans="1:13" x14ac:dyDescent="0.3">
      <c r="A106" s="1">
        <v>44895</v>
      </c>
      <c r="B106">
        <f>YEAR(Table1[[#This Row],[Date]])</f>
        <v>2022</v>
      </c>
      <c r="C106" t="s">
        <v>63</v>
      </c>
      <c r="D106" t="s">
        <v>5</v>
      </c>
      <c r="E106" t="s">
        <v>10</v>
      </c>
      <c r="F106">
        <v>1931</v>
      </c>
      <c r="G106">
        <v>93.449268461314006</v>
      </c>
      <c r="H106" t="str">
        <f>VLOOKUP(Table1[[#This Row],[Manager]],Managers!$A$2:$B$9,2,FALSE)</f>
        <v>Rachella Green</v>
      </c>
      <c r="I106" t="str">
        <f>VLOOKUP(Table1[[#This Row],[Product]],Products!$A$2:$B$11,2,FALSE)</f>
        <v>Mockolate</v>
      </c>
      <c r="J106" t="str">
        <f>IF(Table1[[#This Row],[Sales]]&gt;4000,"Exceeded the target",IF(AND(Table1[[#This Row],[Sales]]&lt;=4000,Table1[[#This Row],[Sales]]&lt;2500),"Did not meet the target","met the target"))</f>
        <v>Did not meet the target</v>
      </c>
      <c r="K106">
        <f>Table1[[#This Row],[Sales]]-Table1[[#This Row],[Commission]]</f>
        <v>1837.550731538686</v>
      </c>
      <c r="L106">
        <f>Table1[[#This Row],[Sales]]+Table1[[#This Row],[Commission]]-Table1[[#This Row],[Revenue]]</f>
        <v>186.89853692262795</v>
      </c>
      <c r="M106">
        <f>Table1[[#This Row],[Revenue]]-Table1[[#This Row],[Cost]]</f>
        <v>1650.6521946160581</v>
      </c>
    </row>
    <row r="107" spans="1:13" x14ac:dyDescent="0.3">
      <c r="A107" s="1">
        <v>44926</v>
      </c>
      <c r="B107">
        <f>YEAR(Table1[[#This Row],[Date]])</f>
        <v>2022</v>
      </c>
      <c r="C107" t="s">
        <v>64</v>
      </c>
      <c r="D107" t="s">
        <v>5</v>
      </c>
      <c r="E107" t="s">
        <v>8</v>
      </c>
      <c r="F107">
        <v>4130</v>
      </c>
      <c r="G107">
        <v>236.466042751754</v>
      </c>
      <c r="H107" t="str">
        <f>VLOOKUP(Table1[[#This Row],[Manager]],Managers!$A$2:$B$9,2,FALSE)</f>
        <v>Rachella Green</v>
      </c>
      <c r="I107" t="str">
        <f>VLOOKUP(Table1[[#This Row],[Product]],Products!$A$2:$B$11,2,FALSE)</f>
        <v>Traditional English Trifle</v>
      </c>
      <c r="J107" t="str">
        <f>IF(Table1[[#This Row],[Sales]]&gt;4000,"Exceeded the target",IF(AND(Table1[[#This Row],[Sales]]&lt;=4000,Table1[[#This Row],[Sales]]&lt;2500),"Did not meet the target","met the target"))</f>
        <v>Exceeded the target</v>
      </c>
      <c r="K107">
        <f>Table1[[#This Row],[Sales]]-Table1[[#This Row],[Commission]]</f>
        <v>3893.5339572482462</v>
      </c>
      <c r="L107">
        <f>Table1[[#This Row],[Sales]]+Table1[[#This Row],[Commission]]-Table1[[#This Row],[Revenue]]</f>
        <v>472.93208550350755</v>
      </c>
      <c r="M107">
        <f>Table1[[#This Row],[Revenue]]-Table1[[#This Row],[Cost]]</f>
        <v>3420.6018717447387</v>
      </c>
    </row>
    <row r="108" spans="1:13" x14ac:dyDescent="0.3">
      <c r="A108" s="1">
        <v>44926</v>
      </c>
      <c r="B108">
        <f>YEAR(Table1[[#This Row],[Date]])</f>
        <v>2022</v>
      </c>
      <c r="C108" t="s">
        <v>65</v>
      </c>
      <c r="D108" t="s">
        <v>5</v>
      </c>
      <c r="E108" t="s">
        <v>9</v>
      </c>
      <c r="F108">
        <v>3753</v>
      </c>
      <c r="G108">
        <v>154.2627261914927</v>
      </c>
      <c r="H108" t="str">
        <f>VLOOKUP(Table1[[#This Row],[Manager]],Managers!$A$2:$B$9,2,FALSE)</f>
        <v>Rachella Green</v>
      </c>
      <c r="I108" t="str">
        <f>VLOOKUP(Table1[[#This Row],[Product]],Products!$A$2:$B$11,2,FALSE)</f>
        <v>Floor Cheesecake</v>
      </c>
      <c r="J108" t="str">
        <f>IF(Table1[[#This Row],[Sales]]&gt;4000,"Exceeded the target",IF(AND(Table1[[#This Row],[Sales]]&lt;=4000,Table1[[#This Row],[Sales]]&lt;2500),"Did not meet the target","met the target"))</f>
        <v>met the target</v>
      </c>
      <c r="K108">
        <f>Table1[[#This Row],[Sales]]-Table1[[#This Row],[Commission]]</f>
        <v>3598.7372738085073</v>
      </c>
      <c r="L108">
        <f>Table1[[#This Row],[Sales]]+Table1[[#This Row],[Commission]]-Table1[[#This Row],[Revenue]]</f>
        <v>308.52545238298535</v>
      </c>
      <c r="M108">
        <f>Table1[[#This Row],[Revenue]]-Table1[[#This Row],[Cost]]</f>
        <v>3290.211821425522</v>
      </c>
    </row>
    <row r="109" spans="1:13" x14ac:dyDescent="0.3">
      <c r="A109" s="1">
        <v>44926</v>
      </c>
      <c r="B109">
        <f>YEAR(Table1[[#This Row],[Date]])</f>
        <v>2022</v>
      </c>
      <c r="C109" t="s">
        <v>66</v>
      </c>
      <c r="D109" t="s">
        <v>5</v>
      </c>
      <c r="E109" t="s">
        <v>10</v>
      </c>
      <c r="F109">
        <v>4108</v>
      </c>
      <c r="G109">
        <v>144.41436811742571</v>
      </c>
      <c r="H109" t="str">
        <f>VLOOKUP(Table1[[#This Row],[Manager]],Managers!$A$2:$B$9,2,FALSE)</f>
        <v>Rachella Green</v>
      </c>
      <c r="I109" t="str">
        <f>VLOOKUP(Table1[[#This Row],[Product]],Products!$A$2:$B$11,2,FALSE)</f>
        <v>Mockolate</v>
      </c>
      <c r="J109" t="str">
        <f>IF(Table1[[#This Row],[Sales]]&gt;4000,"Exceeded the target",IF(AND(Table1[[#This Row],[Sales]]&lt;=4000,Table1[[#This Row],[Sales]]&lt;2500),"Did not meet the target","met the target"))</f>
        <v>Exceeded the target</v>
      </c>
      <c r="K109">
        <f>Table1[[#This Row],[Sales]]-Table1[[#This Row],[Commission]]</f>
        <v>3963.5856318825745</v>
      </c>
      <c r="L109">
        <f>Table1[[#This Row],[Sales]]+Table1[[#This Row],[Commission]]-Table1[[#This Row],[Revenue]]</f>
        <v>288.82873623485102</v>
      </c>
      <c r="M109">
        <f>Table1[[#This Row],[Revenue]]-Table1[[#This Row],[Cost]]</f>
        <v>3674.7568956477235</v>
      </c>
    </row>
    <row r="110" spans="1:13" x14ac:dyDescent="0.3">
      <c r="A110" s="1">
        <v>44592</v>
      </c>
      <c r="B110">
        <f>YEAR(Table1[[#This Row],[Date]])</f>
        <v>2022</v>
      </c>
      <c r="C110" t="s">
        <v>55</v>
      </c>
      <c r="D110" t="s">
        <v>6</v>
      </c>
      <c r="E110" t="s">
        <v>8</v>
      </c>
      <c r="F110">
        <v>4795</v>
      </c>
      <c r="G110">
        <v>324.98062439891851</v>
      </c>
      <c r="H110" t="str">
        <f>VLOOKUP(Table1[[#This Row],[Manager]],Managers!$A$2:$B$9,2,FALSE)</f>
        <v>Ken Adams</v>
      </c>
      <c r="I110" t="str">
        <f>VLOOKUP(Table1[[#This Row],[Product]],Products!$A$2:$B$11,2,FALSE)</f>
        <v>Traditional English Trifle</v>
      </c>
      <c r="J110" t="str">
        <f>IF(Table1[[#This Row],[Sales]]&gt;4000,"Exceeded the target",IF(AND(Table1[[#This Row],[Sales]]&lt;=4000,Table1[[#This Row],[Sales]]&lt;2500),"Did not meet the target","met the target"))</f>
        <v>Exceeded the target</v>
      </c>
      <c r="K110">
        <f>Table1[[#This Row],[Sales]]-Table1[[#This Row],[Commission]]</f>
        <v>4470.0193756010813</v>
      </c>
      <c r="L110">
        <f>Table1[[#This Row],[Sales]]+Table1[[#This Row],[Commission]]-Table1[[#This Row],[Revenue]]</f>
        <v>649.96124879783747</v>
      </c>
      <c r="M110">
        <f>Table1[[#This Row],[Revenue]]-Table1[[#This Row],[Cost]]</f>
        <v>3820.0581268032438</v>
      </c>
    </row>
    <row r="111" spans="1:13" x14ac:dyDescent="0.3">
      <c r="A111" s="1">
        <v>44592</v>
      </c>
      <c r="B111">
        <f>YEAR(Table1[[#This Row],[Date]])</f>
        <v>2022</v>
      </c>
      <c r="C111" t="s">
        <v>56</v>
      </c>
      <c r="D111" t="s">
        <v>6</v>
      </c>
      <c r="E111" t="s">
        <v>10</v>
      </c>
      <c r="F111">
        <v>2778</v>
      </c>
      <c r="G111">
        <v>137.83978281358401</v>
      </c>
      <c r="H111" t="str">
        <f>VLOOKUP(Table1[[#This Row],[Manager]],Managers!$A$2:$B$9,2,FALSE)</f>
        <v>Ken Adams</v>
      </c>
      <c r="I111" t="str">
        <f>VLOOKUP(Table1[[#This Row],[Product]],Products!$A$2:$B$11,2,FALSE)</f>
        <v>Mockolate</v>
      </c>
      <c r="J111" t="str">
        <f>IF(Table1[[#This Row],[Sales]]&gt;4000,"Exceeded the target",IF(AND(Table1[[#This Row],[Sales]]&lt;=4000,Table1[[#This Row],[Sales]]&lt;2500),"Did not meet the target","met the target"))</f>
        <v>met the target</v>
      </c>
      <c r="K111">
        <f>Table1[[#This Row],[Sales]]-Table1[[#This Row],[Commission]]</f>
        <v>2640.160217186416</v>
      </c>
      <c r="L111">
        <f>Table1[[#This Row],[Sales]]+Table1[[#This Row],[Commission]]-Table1[[#This Row],[Revenue]]</f>
        <v>275.6795656271679</v>
      </c>
      <c r="M111">
        <f>Table1[[#This Row],[Revenue]]-Table1[[#This Row],[Cost]]</f>
        <v>2364.4806515592481</v>
      </c>
    </row>
    <row r="112" spans="1:13" x14ac:dyDescent="0.3">
      <c r="A112" s="1">
        <v>44592</v>
      </c>
      <c r="B112">
        <f>YEAR(Table1[[#This Row],[Date]])</f>
        <v>2022</v>
      </c>
      <c r="C112" t="s">
        <v>57</v>
      </c>
      <c r="D112" t="s">
        <v>6</v>
      </c>
      <c r="E112" t="s">
        <v>9</v>
      </c>
      <c r="F112">
        <v>1277</v>
      </c>
      <c r="G112">
        <v>76.08625461111761</v>
      </c>
      <c r="H112" t="str">
        <f>VLOOKUP(Table1[[#This Row],[Manager]],Managers!$A$2:$B$9,2,FALSE)</f>
        <v>Ken Adams</v>
      </c>
      <c r="I112" t="str">
        <f>VLOOKUP(Table1[[#This Row],[Product]],Products!$A$2:$B$11,2,FALSE)</f>
        <v>Floor Cheesecake</v>
      </c>
      <c r="J112" t="str">
        <f>IF(Table1[[#This Row],[Sales]]&gt;4000,"Exceeded the target",IF(AND(Table1[[#This Row],[Sales]]&lt;=4000,Table1[[#This Row],[Sales]]&lt;2500),"Did not meet the target","met the target"))</f>
        <v>Did not meet the target</v>
      </c>
      <c r="K112">
        <f>Table1[[#This Row],[Sales]]-Table1[[#This Row],[Commission]]</f>
        <v>1200.9137453888825</v>
      </c>
      <c r="L112">
        <f>Table1[[#This Row],[Sales]]+Table1[[#This Row],[Commission]]-Table1[[#This Row],[Revenue]]</f>
        <v>152.17250922223502</v>
      </c>
      <c r="M112">
        <f>Table1[[#This Row],[Revenue]]-Table1[[#This Row],[Cost]]</f>
        <v>1048.7412361666475</v>
      </c>
    </row>
    <row r="113" spans="1:13" x14ac:dyDescent="0.3">
      <c r="A113" s="1">
        <v>44620</v>
      </c>
      <c r="B113">
        <f>YEAR(Table1[[#This Row],[Date]])</f>
        <v>2022</v>
      </c>
      <c r="C113" t="s">
        <v>58</v>
      </c>
      <c r="D113" t="s">
        <v>6</v>
      </c>
      <c r="E113" t="s">
        <v>9</v>
      </c>
      <c r="F113">
        <v>3897</v>
      </c>
      <c r="G113">
        <v>256.68312115912858</v>
      </c>
      <c r="H113" t="str">
        <f>VLOOKUP(Table1[[#This Row],[Manager]],Managers!$A$2:$B$9,2,FALSE)</f>
        <v>Ken Adams</v>
      </c>
      <c r="I113" t="str">
        <f>VLOOKUP(Table1[[#This Row],[Product]],Products!$A$2:$B$11,2,FALSE)</f>
        <v>Floor Cheesecake</v>
      </c>
      <c r="J113" t="str">
        <f>IF(Table1[[#This Row],[Sales]]&gt;4000,"Exceeded the target",IF(AND(Table1[[#This Row],[Sales]]&lt;=4000,Table1[[#This Row],[Sales]]&lt;2500),"Did not meet the target","met the target"))</f>
        <v>met the target</v>
      </c>
      <c r="K113">
        <f>Table1[[#This Row],[Sales]]-Table1[[#This Row],[Commission]]</f>
        <v>3640.3168788408716</v>
      </c>
      <c r="L113">
        <f>Table1[[#This Row],[Sales]]+Table1[[#This Row],[Commission]]-Table1[[#This Row],[Revenue]]</f>
        <v>513.36624231825726</v>
      </c>
      <c r="M113">
        <f>Table1[[#This Row],[Revenue]]-Table1[[#This Row],[Cost]]</f>
        <v>3126.9506365226143</v>
      </c>
    </row>
    <row r="114" spans="1:13" x14ac:dyDescent="0.3">
      <c r="A114" s="1">
        <v>44620</v>
      </c>
      <c r="B114">
        <f>YEAR(Table1[[#This Row],[Date]])</f>
        <v>2022</v>
      </c>
      <c r="C114" t="s">
        <v>59</v>
      </c>
      <c r="D114" t="s">
        <v>6</v>
      </c>
      <c r="E114" t="s">
        <v>8</v>
      </c>
      <c r="F114">
        <v>4672</v>
      </c>
      <c r="G114">
        <v>240.435922971998</v>
      </c>
      <c r="H114" t="str">
        <f>VLOOKUP(Table1[[#This Row],[Manager]],Managers!$A$2:$B$9,2,FALSE)</f>
        <v>Ken Adams</v>
      </c>
      <c r="I114" t="str">
        <f>VLOOKUP(Table1[[#This Row],[Product]],Products!$A$2:$B$11,2,FALSE)</f>
        <v>Traditional English Trifle</v>
      </c>
      <c r="J114" t="str">
        <f>IF(Table1[[#This Row],[Sales]]&gt;4000,"Exceeded the target",IF(AND(Table1[[#This Row],[Sales]]&lt;=4000,Table1[[#This Row],[Sales]]&lt;2500),"Did not meet the target","met the target"))</f>
        <v>Exceeded the target</v>
      </c>
      <c r="K114">
        <f>Table1[[#This Row],[Sales]]-Table1[[#This Row],[Commission]]</f>
        <v>4431.5640770280024</v>
      </c>
      <c r="L114">
        <f>Table1[[#This Row],[Sales]]+Table1[[#This Row],[Commission]]-Table1[[#This Row],[Revenue]]</f>
        <v>480.87184594399514</v>
      </c>
      <c r="M114">
        <f>Table1[[#This Row],[Revenue]]-Table1[[#This Row],[Cost]]</f>
        <v>3950.6922310840073</v>
      </c>
    </row>
    <row r="115" spans="1:13" x14ac:dyDescent="0.3">
      <c r="A115" s="1">
        <v>44620</v>
      </c>
      <c r="B115">
        <f>YEAR(Table1[[#This Row],[Date]])</f>
        <v>2022</v>
      </c>
      <c r="C115" t="s">
        <v>60</v>
      </c>
      <c r="D115" t="s">
        <v>6</v>
      </c>
      <c r="E115" t="s">
        <v>10</v>
      </c>
      <c r="F115">
        <v>2701</v>
      </c>
      <c r="G115">
        <v>188.02621987673999</v>
      </c>
      <c r="H115" t="str">
        <f>VLOOKUP(Table1[[#This Row],[Manager]],Managers!$A$2:$B$9,2,FALSE)</f>
        <v>Ken Adams</v>
      </c>
      <c r="I115" t="str">
        <f>VLOOKUP(Table1[[#This Row],[Product]],Products!$A$2:$B$11,2,FALSE)</f>
        <v>Mockolate</v>
      </c>
      <c r="J115" t="str">
        <f>IF(Table1[[#This Row],[Sales]]&gt;4000,"Exceeded the target",IF(AND(Table1[[#This Row],[Sales]]&lt;=4000,Table1[[#This Row],[Sales]]&lt;2500),"Did not meet the target","met the target"))</f>
        <v>met the target</v>
      </c>
      <c r="K115">
        <f>Table1[[#This Row],[Sales]]-Table1[[#This Row],[Commission]]</f>
        <v>2512.97378012326</v>
      </c>
      <c r="L115">
        <f>Table1[[#This Row],[Sales]]+Table1[[#This Row],[Commission]]-Table1[[#This Row],[Revenue]]</f>
        <v>376.05243975348003</v>
      </c>
      <c r="M115">
        <f>Table1[[#This Row],[Revenue]]-Table1[[#This Row],[Cost]]</f>
        <v>2136.92134036978</v>
      </c>
    </row>
    <row r="116" spans="1:13" x14ac:dyDescent="0.3">
      <c r="A116" s="1">
        <v>44651</v>
      </c>
      <c r="B116">
        <f>YEAR(Table1[[#This Row],[Date]])</f>
        <v>2022</v>
      </c>
      <c r="C116" t="s">
        <v>61</v>
      </c>
      <c r="D116" t="s">
        <v>6</v>
      </c>
      <c r="E116" t="s">
        <v>8</v>
      </c>
      <c r="F116">
        <v>3496</v>
      </c>
      <c r="G116">
        <v>216.47886925433289</v>
      </c>
      <c r="H116" t="str">
        <f>VLOOKUP(Table1[[#This Row],[Manager]],Managers!$A$2:$B$9,2,FALSE)</f>
        <v>Ken Adams</v>
      </c>
      <c r="I116" t="str">
        <f>VLOOKUP(Table1[[#This Row],[Product]],Products!$A$2:$B$11,2,FALSE)</f>
        <v>Traditional English Trifle</v>
      </c>
      <c r="J116" t="str">
        <f>IF(Table1[[#This Row],[Sales]]&gt;4000,"Exceeded the target",IF(AND(Table1[[#This Row],[Sales]]&lt;=4000,Table1[[#This Row],[Sales]]&lt;2500),"Did not meet the target","met the target"))</f>
        <v>met the target</v>
      </c>
      <c r="K116">
        <f>Table1[[#This Row],[Sales]]-Table1[[#This Row],[Commission]]</f>
        <v>3279.5211307456671</v>
      </c>
      <c r="L116">
        <f>Table1[[#This Row],[Sales]]+Table1[[#This Row],[Commission]]-Table1[[#This Row],[Revenue]]</f>
        <v>432.9577385086659</v>
      </c>
      <c r="M116">
        <f>Table1[[#This Row],[Revenue]]-Table1[[#This Row],[Cost]]</f>
        <v>2846.5633922370012</v>
      </c>
    </row>
    <row r="117" spans="1:13" x14ac:dyDescent="0.3">
      <c r="A117" s="1">
        <v>44651</v>
      </c>
      <c r="B117">
        <f>YEAR(Table1[[#This Row],[Date]])</f>
        <v>2022</v>
      </c>
      <c r="C117" t="s">
        <v>62</v>
      </c>
      <c r="D117" t="s">
        <v>6</v>
      </c>
      <c r="E117" t="s">
        <v>9</v>
      </c>
      <c r="F117">
        <v>3898</v>
      </c>
      <c r="G117">
        <v>145.88435643618399</v>
      </c>
      <c r="H117" t="str">
        <f>VLOOKUP(Table1[[#This Row],[Manager]],Managers!$A$2:$B$9,2,FALSE)</f>
        <v>Ken Adams</v>
      </c>
      <c r="I117" t="str">
        <f>VLOOKUP(Table1[[#This Row],[Product]],Products!$A$2:$B$11,2,FALSE)</f>
        <v>Floor Cheesecake</v>
      </c>
      <c r="J117" t="str">
        <f>IF(Table1[[#This Row],[Sales]]&gt;4000,"Exceeded the target",IF(AND(Table1[[#This Row],[Sales]]&lt;=4000,Table1[[#This Row],[Sales]]&lt;2500),"Did not meet the target","met the target"))</f>
        <v>met the target</v>
      </c>
      <c r="K117">
        <f>Table1[[#This Row],[Sales]]-Table1[[#This Row],[Commission]]</f>
        <v>3752.1156435638159</v>
      </c>
      <c r="L117">
        <f>Table1[[#This Row],[Sales]]+Table1[[#This Row],[Commission]]-Table1[[#This Row],[Revenue]]</f>
        <v>291.76871287236827</v>
      </c>
      <c r="M117">
        <f>Table1[[#This Row],[Revenue]]-Table1[[#This Row],[Cost]]</f>
        <v>3460.3469306914476</v>
      </c>
    </row>
    <row r="118" spans="1:13" x14ac:dyDescent="0.3">
      <c r="A118" s="1">
        <v>44651</v>
      </c>
      <c r="B118">
        <f>YEAR(Table1[[#This Row],[Date]])</f>
        <v>2022</v>
      </c>
      <c r="C118" t="s">
        <v>63</v>
      </c>
      <c r="D118" t="s">
        <v>6</v>
      </c>
      <c r="E118" t="s">
        <v>10</v>
      </c>
      <c r="F118">
        <v>1099</v>
      </c>
      <c r="G118">
        <v>74.854721240486683</v>
      </c>
      <c r="H118" t="str">
        <f>VLOOKUP(Table1[[#This Row],[Manager]],Managers!$A$2:$B$9,2,FALSE)</f>
        <v>Ken Adams</v>
      </c>
      <c r="I118" t="str">
        <f>VLOOKUP(Table1[[#This Row],[Product]],Products!$A$2:$B$11,2,FALSE)</f>
        <v>Mockolate</v>
      </c>
      <c r="J118" t="str">
        <f>IF(Table1[[#This Row],[Sales]]&gt;4000,"Exceeded the target",IF(AND(Table1[[#This Row],[Sales]]&lt;=4000,Table1[[#This Row],[Sales]]&lt;2500),"Did not meet the target","met the target"))</f>
        <v>Did not meet the target</v>
      </c>
      <c r="K118">
        <f>Table1[[#This Row],[Sales]]-Table1[[#This Row],[Commission]]</f>
        <v>1024.1452787595133</v>
      </c>
      <c r="L118">
        <f>Table1[[#This Row],[Sales]]+Table1[[#This Row],[Commission]]-Table1[[#This Row],[Revenue]]</f>
        <v>149.70944248097339</v>
      </c>
      <c r="M118">
        <f>Table1[[#This Row],[Revenue]]-Table1[[#This Row],[Cost]]</f>
        <v>874.43583627853991</v>
      </c>
    </row>
    <row r="119" spans="1:13" x14ac:dyDescent="0.3">
      <c r="A119" s="1">
        <v>44681</v>
      </c>
      <c r="B119">
        <f>YEAR(Table1[[#This Row],[Date]])</f>
        <v>2022</v>
      </c>
      <c r="C119" t="s">
        <v>64</v>
      </c>
      <c r="D119" t="s">
        <v>6</v>
      </c>
      <c r="E119" t="s">
        <v>9</v>
      </c>
      <c r="F119">
        <v>3591</v>
      </c>
      <c r="G119">
        <v>192.01570352525141</v>
      </c>
      <c r="H119" t="str">
        <f>VLOOKUP(Table1[[#This Row],[Manager]],Managers!$A$2:$B$9,2,FALSE)</f>
        <v>Ken Adams</v>
      </c>
      <c r="I119" t="str">
        <f>VLOOKUP(Table1[[#This Row],[Product]],Products!$A$2:$B$11,2,FALSE)</f>
        <v>Floor Cheesecake</v>
      </c>
      <c r="J119" t="str">
        <f>IF(Table1[[#This Row],[Sales]]&gt;4000,"Exceeded the target",IF(AND(Table1[[#This Row],[Sales]]&lt;=4000,Table1[[#This Row],[Sales]]&lt;2500),"Did not meet the target","met the target"))</f>
        <v>met the target</v>
      </c>
      <c r="K119">
        <f>Table1[[#This Row],[Sales]]-Table1[[#This Row],[Commission]]</f>
        <v>3398.9842964747486</v>
      </c>
      <c r="L119">
        <f>Table1[[#This Row],[Sales]]+Table1[[#This Row],[Commission]]-Table1[[#This Row],[Revenue]]</f>
        <v>384.03140705050282</v>
      </c>
      <c r="M119">
        <f>Table1[[#This Row],[Revenue]]-Table1[[#This Row],[Cost]]</f>
        <v>3014.9528894242458</v>
      </c>
    </row>
    <row r="120" spans="1:13" x14ac:dyDescent="0.3">
      <c r="A120" s="1">
        <v>44681</v>
      </c>
      <c r="B120">
        <f>YEAR(Table1[[#This Row],[Date]])</f>
        <v>2022</v>
      </c>
      <c r="C120" t="s">
        <v>65</v>
      </c>
      <c r="D120" t="s">
        <v>6</v>
      </c>
      <c r="E120" t="s">
        <v>10</v>
      </c>
      <c r="F120">
        <v>1714</v>
      </c>
      <c r="G120">
        <v>110.64594034209679</v>
      </c>
      <c r="H120" t="str">
        <f>VLOOKUP(Table1[[#This Row],[Manager]],Managers!$A$2:$B$9,2,FALSE)</f>
        <v>Ken Adams</v>
      </c>
      <c r="I120" t="str">
        <f>VLOOKUP(Table1[[#This Row],[Product]],Products!$A$2:$B$11,2,FALSE)</f>
        <v>Mockolate</v>
      </c>
      <c r="J120" t="str">
        <f>IF(Table1[[#This Row],[Sales]]&gt;4000,"Exceeded the target",IF(AND(Table1[[#This Row],[Sales]]&lt;=4000,Table1[[#This Row],[Sales]]&lt;2500),"Did not meet the target","met the target"))</f>
        <v>Did not meet the target</v>
      </c>
      <c r="K120">
        <f>Table1[[#This Row],[Sales]]-Table1[[#This Row],[Commission]]</f>
        <v>1603.3540596579032</v>
      </c>
      <c r="L120">
        <f>Table1[[#This Row],[Sales]]+Table1[[#This Row],[Commission]]-Table1[[#This Row],[Revenue]]</f>
        <v>221.29188068419353</v>
      </c>
      <c r="M120">
        <f>Table1[[#This Row],[Revenue]]-Table1[[#This Row],[Cost]]</f>
        <v>1382.0621789737097</v>
      </c>
    </row>
    <row r="121" spans="1:13" x14ac:dyDescent="0.3">
      <c r="A121" s="1">
        <v>44681</v>
      </c>
      <c r="B121">
        <f>YEAR(Table1[[#This Row],[Date]])</f>
        <v>2022</v>
      </c>
      <c r="C121" t="s">
        <v>66</v>
      </c>
      <c r="D121" t="s">
        <v>6</v>
      </c>
      <c r="E121" t="s">
        <v>8</v>
      </c>
      <c r="F121">
        <v>1544</v>
      </c>
      <c r="G121">
        <v>63.466348900762647</v>
      </c>
      <c r="H121" t="str">
        <f>VLOOKUP(Table1[[#This Row],[Manager]],Managers!$A$2:$B$9,2,FALSE)</f>
        <v>Ken Adams</v>
      </c>
      <c r="I121" t="str">
        <f>VLOOKUP(Table1[[#This Row],[Product]],Products!$A$2:$B$11,2,FALSE)</f>
        <v>Traditional English Trifle</v>
      </c>
      <c r="J121" t="str">
        <f>IF(Table1[[#This Row],[Sales]]&gt;4000,"Exceeded the target",IF(AND(Table1[[#This Row],[Sales]]&lt;=4000,Table1[[#This Row],[Sales]]&lt;2500),"Did not meet the target","met the target"))</f>
        <v>Did not meet the target</v>
      </c>
      <c r="K121">
        <f>Table1[[#This Row],[Sales]]-Table1[[#This Row],[Commission]]</f>
        <v>1480.5336510992374</v>
      </c>
      <c r="L121">
        <f>Table1[[#This Row],[Sales]]+Table1[[#This Row],[Commission]]-Table1[[#This Row],[Revenue]]</f>
        <v>126.93269780152514</v>
      </c>
      <c r="M121">
        <f>Table1[[#This Row],[Revenue]]-Table1[[#This Row],[Cost]]</f>
        <v>1353.6009532977123</v>
      </c>
    </row>
    <row r="122" spans="1:13" x14ac:dyDescent="0.3">
      <c r="A122" s="1">
        <v>44712</v>
      </c>
      <c r="B122">
        <f>YEAR(Table1[[#This Row],[Date]])</f>
        <v>2022</v>
      </c>
      <c r="C122" t="s">
        <v>55</v>
      </c>
      <c r="D122" t="s">
        <v>6</v>
      </c>
      <c r="E122" t="s">
        <v>8</v>
      </c>
      <c r="F122">
        <v>4125</v>
      </c>
      <c r="G122">
        <v>247.2794972753403</v>
      </c>
      <c r="H122" t="str">
        <f>VLOOKUP(Table1[[#This Row],[Manager]],Managers!$A$2:$B$9,2,FALSE)</f>
        <v>Ken Adams</v>
      </c>
      <c r="I122" t="str">
        <f>VLOOKUP(Table1[[#This Row],[Product]],Products!$A$2:$B$11,2,FALSE)</f>
        <v>Traditional English Trifle</v>
      </c>
      <c r="J122" t="str">
        <f>IF(Table1[[#This Row],[Sales]]&gt;4000,"Exceeded the target",IF(AND(Table1[[#This Row],[Sales]]&lt;=4000,Table1[[#This Row],[Sales]]&lt;2500),"Did not meet the target","met the target"))</f>
        <v>Exceeded the target</v>
      </c>
      <c r="K122">
        <f>Table1[[#This Row],[Sales]]-Table1[[#This Row],[Commission]]</f>
        <v>3877.7205027246596</v>
      </c>
      <c r="L122">
        <f>Table1[[#This Row],[Sales]]+Table1[[#This Row],[Commission]]-Table1[[#This Row],[Revenue]]</f>
        <v>494.55899455068038</v>
      </c>
      <c r="M122">
        <f>Table1[[#This Row],[Revenue]]-Table1[[#This Row],[Cost]]</f>
        <v>3383.1615081739792</v>
      </c>
    </row>
    <row r="123" spans="1:13" x14ac:dyDescent="0.3">
      <c r="A123" s="1">
        <v>44712</v>
      </c>
      <c r="B123">
        <f>YEAR(Table1[[#This Row],[Date]])</f>
        <v>2022</v>
      </c>
      <c r="C123" t="s">
        <v>56</v>
      </c>
      <c r="D123" t="s">
        <v>6</v>
      </c>
      <c r="E123" t="s">
        <v>9</v>
      </c>
      <c r="F123">
        <v>2925</v>
      </c>
      <c r="G123">
        <v>193.48520955027419</v>
      </c>
      <c r="H123" t="str">
        <f>VLOOKUP(Table1[[#This Row],[Manager]],Managers!$A$2:$B$9,2,FALSE)</f>
        <v>Ken Adams</v>
      </c>
      <c r="I123" t="str">
        <f>VLOOKUP(Table1[[#This Row],[Product]],Products!$A$2:$B$11,2,FALSE)</f>
        <v>Floor Cheesecake</v>
      </c>
      <c r="J123" t="str">
        <f>IF(Table1[[#This Row],[Sales]]&gt;4000,"Exceeded the target",IF(AND(Table1[[#This Row],[Sales]]&lt;=4000,Table1[[#This Row],[Sales]]&lt;2500),"Did not meet the target","met the target"))</f>
        <v>met the target</v>
      </c>
      <c r="K123">
        <f>Table1[[#This Row],[Sales]]-Table1[[#This Row],[Commission]]</f>
        <v>2731.5147904497258</v>
      </c>
      <c r="L123">
        <f>Table1[[#This Row],[Sales]]+Table1[[#This Row],[Commission]]-Table1[[#This Row],[Revenue]]</f>
        <v>386.9704191005485</v>
      </c>
      <c r="M123">
        <f>Table1[[#This Row],[Revenue]]-Table1[[#This Row],[Cost]]</f>
        <v>2344.5443713491773</v>
      </c>
    </row>
    <row r="124" spans="1:13" x14ac:dyDescent="0.3">
      <c r="A124" s="1">
        <v>44712</v>
      </c>
      <c r="B124">
        <f>YEAR(Table1[[#This Row],[Date]])</f>
        <v>2022</v>
      </c>
      <c r="C124" t="s">
        <v>57</v>
      </c>
      <c r="D124" t="s">
        <v>6</v>
      </c>
      <c r="E124" t="s">
        <v>10</v>
      </c>
      <c r="F124">
        <v>4622</v>
      </c>
      <c r="G124">
        <v>154.0831398645204</v>
      </c>
      <c r="H124" t="str">
        <f>VLOOKUP(Table1[[#This Row],[Manager]],Managers!$A$2:$B$9,2,FALSE)</f>
        <v>Ken Adams</v>
      </c>
      <c r="I124" t="str">
        <f>VLOOKUP(Table1[[#This Row],[Product]],Products!$A$2:$B$11,2,FALSE)</f>
        <v>Mockolate</v>
      </c>
      <c r="J124" t="str">
        <f>IF(Table1[[#This Row],[Sales]]&gt;4000,"Exceeded the target",IF(AND(Table1[[#This Row],[Sales]]&lt;=4000,Table1[[#This Row],[Sales]]&lt;2500),"Did not meet the target","met the target"))</f>
        <v>Exceeded the target</v>
      </c>
      <c r="K124">
        <f>Table1[[#This Row],[Sales]]-Table1[[#This Row],[Commission]]</f>
        <v>4467.9168601354795</v>
      </c>
      <c r="L124">
        <f>Table1[[#This Row],[Sales]]+Table1[[#This Row],[Commission]]-Table1[[#This Row],[Revenue]]</f>
        <v>308.16627972904098</v>
      </c>
      <c r="M124">
        <f>Table1[[#This Row],[Revenue]]-Table1[[#This Row],[Cost]]</f>
        <v>4159.7505804064385</v>
      </c>
    </row>
    <row r="125" spans="1:13" x14ac:dyDescent="0.3">
      <c r="A125" s="1">
        <v>44742</v>
      </c>
      <c r="B125">
        <f>YEAR(Table1[[#This Row],[Date]])</f>
        <v>2022</v>
      </c>
      <c r="C125" t="s">
        <v>58</v>
      </c>
      <c r="D125" t="s">
        <v>6</v>
      </c>
      <c r="E125" t="s">
        <v>10</v>
      </c>
      <c r="F125">
        <v>4942</v>
      </c>
      <c r="G125">
        <v>341.49123922468232</v>
      </c>
      <c r="H125" t="str">
        <f>VLOOKUP(Table1[[#This Row],[Manager]],Managers!$A$2:$B$9,2,FALSE)</f>
        <v>Ken Adams</v>
      </c>
      <c r="I125" t="str">
        <f>VLOOKUP(Table1[[#This Row],[Product]],Products!$A$2:$B$11,2,FALSE)</f>
        <v>Mockolate</v>
      </c>
      <c r="J125" t="str">
        <f>IF(Table1[[#This Row],[Sales]]&gt;4000,"Exceeded the target",IF(AND(Table1[[#This Row],[Sales]]&lt;=4000,Table1[[#This Row],[Sales]]&lt;2500),"Did not meet the target","met the target"))</f>
        <v>Exceeded the target</v>
      </c>
      <c r="K125">
        <f>Table1[[#This Row],[Sales]]-Table1[[#This Row],[Commission]]</f>
        <v>4600.5087607753176</v>
      </c>
      <c r="L125">
        <f>Table1[[#This Row],[Sales]]+Table1[[#This Row],[Commission]]-Table1[[#This Row],[Revenue]]</f>
        <v>682.98247844936486</v>
      </c>
      <c r="M125">
        <f>Table1[[#This Row],[Revenue]]-Table1[[#This Row],[Cost]]</f>
        <v>3917.5262823259527</v>
      </c>
    </row>
    <row r="126" spans="1:13" x14ac:dyDescent="0.3">
      <c r="A126" s="1">
        <v>44742</v>
      </c>
      <c r="B126">
        <f>YEAR(Table1[[#This Row],[Date]])</f>
        <v>2022</v>
      </c>
      <c r="C126" t="s">
        <v>59</v>
      </c>
      <c r="D126" t="s">
        <v>6</v>
      </c>
      <c r="E126" t="s">
        <v>9</v>
      </c>
      <c r="F126">
        <v>3339</v>
      </c>
      <c r="G126">
        <v>165.03042171302829</v>
      </c>
      <c r="H126" t="str">
        <f>VLOOKUP(Table1[[#This Row],[Manager]],Managers!$A$2:$B$9,2,FALSE)</f>
        <v>Ken Adams</v>
      </c>
      <c r="I126" t="str">
        <f>VLOOKUP(Table1[[#This Row],[Product]],Products!$A$2:$B$11,2,FALSE)</f>
        <v>Floor Cheesecake</v>
      </c>
      <c r="J126" t="str">
        <f>IF(Table1[[#This Row],[Sales]]&gt;4000,"Exceeded the target",IF(AND(Table1[[#This Row],[Sales]]&lt;=4000,Table1[[#This Row],[Sales]]&lt;2500),"Did not meet the target","met the target"))</f>
        <v>met the target</v>
      </c>
      <c r="K126">
        <f>Table1[[#This Row],[Sales]]-Table1[[#This Row],[Commission]]</f>
        <v>3173.9695782869717</v>
      </c>
      <c r="L126">
        <f>Table1[[#This Row],[Sales]]+Table1[[#This Row],[Commission]]-Table1[[#This Row],[Revenue]]</f>
        <v>330.06084342605664</v>
      </c>
      <c r="M126">
        <f>Table1[[#This Row],[Revenue]]-Table1[[#This Row],[Cost]]</f>
        <v>2843.908734860915</v>
      </c>
    </row>
    <row r="127" spans="1:13" x14ac:dyDescent="0.3">
      <c r="A127" s="1">
        <v>44742</v>
      </c>
      <c r="B127">
        <f>YEAR(Table1[[#This Row],[Date]])</f>
        <v>2022</v>
      </c>
      <c r="C127" t="s">
        <v>60</v>
      </c>
      <c r="D127" t="s">
        <v>6</v>
      </c>
      <c r="E127" t="s">
        <v>8</v>
      </c>
      <c r="F127">
        <v>3105</v>
      </c>
      <c r="G127">
        <v>101.0932440522258</v>
      </c>
      <c r="H127" t="str">
        <f>VLOOKUP(Table1[[#This Row],[Manager]],Managers!$A$2:$B$9,2,FALSE)</f>
        <v>Ken Adams</v>
      </c>
      <c r="I127" t="str">
        <f>VLOOKUP(Table1[[#This Row],[Product]],Products!$A$2:$B$11,2,FALSE)</f>
        <v>Traditional English Trifle</v>
      </c>
      <c r="J127" t="str">
        <f>IF(Table1[[#This Row],[Sales]]&gt;4000,"Exceeded the target",IF(AND(Table1[[#This Row],[Sales]]&lt;=4000,Table1[[#This Row],[Sales]]&lt;2500),"Did not meet the target","met the target"))</f>
        <v>met the target</v>
      </c>
      <c r="K127">
        <f>Table1[[#This Row],[Sales]]-Table1[[#This Row],[Commission]]</f>
        <v>3003.9067559477744</v>
      </c>
      <c r="L127">
        <f>Table1[[#This Row],[Sales]]+Table1[[#This Row],[Commission]]-Table1[[#This Row],[Revenue]]</f>
        <v>202.1864881044512</v>
      </c>
      <c r="M127">
        <f>Table1[[#This Row],[Revenue]]-Table1[[#This Row],[Cost]]</f>
        <v>2801.7202678433232</v>
      </c>
    </row>
    <row r="128" spans="1:13" x14ac:dyDescent="0.3">
      <c r="A128" s="1">
        <v>44773</v>
      </c>
      <c r="B128">
        <f>YEAR(Table1[[#This Row],[Date]])</f>
        <v>2022</v>
      </c>
      <c r="C128" t="s">
        <v>61</v>
      </c>
      <c r="D128" t="s">
        <v>6</v>
      </c>
      <c r="E128" t="s">
        <v>8</v>
      </c>
      <c r="F128">
        <v>3251</v>
      </c>
      <c r="G128">
        <v>99.251320982967286</v>
      </c>
      <c r="H128" t="str">
        <f>VLOOKUP(Table1[[#This Row],[Manager]],Managers!$A$2:$B$9,2,FALSE)</f>
        <v>Ken Adams</v>
      </c>
      <c r="I128" t="str">
        <f>VLOOKUP(Table1[[#This Row],[Product]],Products!$A$2:$B$11,2,FALSE)</f>
        <v>Traditional English Trifle</v>
      </c>
      <c r="J128" t="str">
        <f>IF(Table1[[#This Row],[Sales]]&gt;4000,"Exceeded the target",IF(AND(Table1[[#This Row],[Sales]]&lt;=4000,Table1[[#This Row],[Sales]]&lt;2500),"Did not meet the target","met the target"))</f>
        <v>met the target</v>
      </c>
      <c r="K128">
        <f>Table1[[#This Row],[Sales]]-Table1[[#This Row],[Commission]]</f>
        <v>3151.7486790170328</v>
      </c>
      <c r="L128">
        <f>Table1[[#This Row],[Sales]]+Table1[[#This Row],[Commission]]-Table1[[#This Row],[Revenue]]</f>
        <v>198.50264196593434</v>
      </c>
      <c r="M128">
        <f>Table1[[#This Row],[Revenue]]-Table1[[#This Row],[Cost]]</f>
        <v>2953.2460370510985</v>
      </c>
    </row>
    <row r="129" spans="1:13" x14ac:dyDescent="0.3">
      <c r="A129" s="1">
        <v>44773</v>
      </c>
      <c r="B129">
        <f>YEAR(Table1[[#This Row],[Date]])</f>
        <v>2022</v>
      </c>
      <c r="C129" t="s">
        <v>62</v>
      </c>
      <c r="D129" t="s">
        <v>6</v>
      </c>
      <c r="E129" t="s">
        <v>10</v>
      </c>
      <c r="F129">
        <v>1774</v>
      </c>
      <c r="G129">
        <v>63.732075492881791</v>
      </c>
      <c r="H129" t="str">
        <f>VLOOKUP(Table1[[#This Row],[Manager]],Managers!$A$2:$B$9,2,FALSE)</f>
        <v>Ken Adams</v>
      </c>
      <c r="I129" t="str">
        <f>VLOOKUP(Table1[[#This Row],[Product]],Products!$A$2:$B$11,2,FALSE)</f>
        <v>Mockolate</v>
      </c>
      <c r="J129" t="str">
        <f>IF(Table1[[#This Row],[Sales]]&gt;4000,"Exceeded the target",IF(AND(Table1[[#This Row],[Sales]]&lt;=4000,Table1[[#This Row],[Sales]]&lt;2500),"Did not meet the target","met the target"))</f>
        <v>Did not meet the target</v>
      </c>
      <c r="K129">
        <f>Table1[[#This Row],[Sales]]-Table1[[#This Row],[Commission]]</f>
        <v>1710.2679245071181</v>
      </c>
      <c r="L129">
        <f>Table1[[#This Row],[Sales]]+Table1[[#This Row],[Commission]]-Table1[[#This Row],[Revenue]]</f>
        <v>127.46415098576381</v>
      </c>
      <c r="M129">
        <f>Table1[[#This Row],[Revenue]]-Table1[[#This Row],[Cost]]</f>
        <v>1582.8037735213543</v>
      </c>
    </row>
    <row r="130" spans="1:13" x14ac:dyDescent="0.3">
      <c r="A130" s="1">
        <v>44773</v>
      </c>
      <c r="B130">
        <f>YEAR(Table1[[#This Row],[Date]])</f>
        <v>2022</v>
      </c>
      <c r="C130" t="s">
        <v>63</v>
      </c>
      <c r="D130" t="s">
        <v>6</v>
      </c>
      <c r="E130" t="s">
        <v>9</v>
      </c>
      <c r="F130">
        <v>1324</v>
      </c>
      <c r="G130">
        <v>58.109487109690342</v>
      </c>
      <c r="H130" t="str">
        <f>VLOOKUP(Table1[[#This Row],[Manager]],Managers!$A$2:$B$9,2,FALSE)</f>
        <v>Ken Adams</v>
      </c>
      <c r="I130" t="str">
        <f>VLOOKUP(Table1[[#This Row],[Product]],Products!$A$2:$B$11,2,FALSE)</f>
        <v>Floor Cheesecake</v>
      </c>
      <c r="J130" t="str">
        <f>IF(Table1[[#This Row],[Sales]]&gt;4000,"Exceeded the target",IF(AND(Table1[[#This Row],[Sales]]&lt;=4000,Table1[[#This Row],[Sales]]&lt;2500),"Did not meet the target","met the target"))</f>
        <v>Did not meet the target</v>
      </c>
      <c r="K130">
        <f>Table1[[#This Row],[Sales]]-Table1[[#This Row],[Commission]]</f>
        <v>1265.8905128903098</v>
      </c>
      <c r="L130">
        <f>Table1[[#This Row],[Sales]]+Table1[[#This Row],[Commission]]-Table1[[#This Row],[Revenue]]</f>
        <v>116.21897421938047</v>
      </c>
      <c r="M130">
        <f>Table1[[#This Row],[Revenue]]-Table1[[#This Row],[Cost]]</f>
        <v>1149.6715386709293</v>
      </c>
    </row>
    <row r="131" spans="1:13" x14ac:dyDescent="0.3">
      <c r="A131" s="1">
        <v>44804</v>
      </c>
      <c r="B131">
        <f>YEAR(Table1[[#This Row],[Date]])</f>
        <v>2022</v>
      </c>
      <c r="C131" t="s">
        <v>64</v>
      </c>
      <c r="D131" t="s">
        <v>6</v>
      </c>
      <c r="E131" t="s">
        <v>8</v>
      </c>
      <c r="F131">
        <v>4299</v>
      </c>
      <c r="G131">
        <v>296.27323533241753</v>
      </c>
      <c r="H131" t="str">
        <f>VLOOKUP(Table1[[#This Row],[Manager]],Managers!$A$2:$B$9,2,FALSE)</f>
        <v>Ken Adams</v>
      </c>
      <c r="I131" t="str">
        <f>VLOOKUP(Table1[[#This Row],[Product]],Products!$A$2:$B$11,2,FALSE)</f>
        <v>Traditional English Trifle</v>
      </c>
      <c r="J131" t="str">
        <f>IF(Table1[[#This Row],[Sales]]&gt;4000,"Exceeded the target",IF(AND(Table1[[#This Row],[Sales]]&lt;=4000,Table1[[#This Row],[Sales]]&lt;2500),"Did not meet the target","met the target"))</f>
        <v>Exceeded the target</v>
      </c>
      <c r="K131">
        <f>Table1[[#This Row],[Sales]]-Table1[[#This Row],[Commission]]</f>
        <v>4002.7267646675823</v>
      </c>
      <c r="L131">
        <f>Table1[[#This Row],[Sales]]+Table1[[#This Row],[Commission]]-Table1[[#This Row],[Revenue]]</f>
        <v>592.54647066483494</v>
      </c>
      <c r="M131">
        <f>Table1[[#This Row],[Revenue]]-Table1[[#This Row],[Cost]]</f>
        <v>3410.1802940027474</v>
      </c>
    </row>
    <row r="132" spans="1:13" x14ac:dyDescent="0.3">
      <c r="A132" s="1">
        <v>44804</v>
      </c>
      <c r="B132">
        <f>YEAR(Table1[[#This Row],[Date]])</f>
        <v>2022</v>
      </c>
      <c r="C132" t="s">
        <v>65</v>
      </c>
      <c r="D132" t="s">
        <v>6</v>
      </c>
      <c r="E132" t="s">
        <v>9</v>
      </c>
      <c r="F132">
        <v>4002</v>
      </c>
      <c r="G132">
        <v>273.87041206272511</v>
      </c>
      <c r="H132" t="str">
        <f>VLOOKUP(Table1[[#This Row],[Manager]],Managers!$A$2:$B$9,2,FALSE)</f>
        <v>Ken Adams</v>
      </c>
      <c r="I132" t="str">
        <f>VLOOKUP(Table1[[#This Row],[Product]],Products!$A$2:$B$11,2,FALSE)</f>
        <v>Floor Cheesecake</v>
      </c>
      <c r="J132" t="str">
        <f>IF(Table1[[#This Row],[Sales]]&gt;4000,"Exceeded the target",IF(AND(Table1[[#This Row],[Sales]]&lt;=4000,Table1[[#This Row],[Sales]]&lt;2500),"Did not meet the target","met the target"))</f>
        <v>Exceeded the target</v>
      </c>
      <c r="K132">
        <f>Table1[[#This Row],[Sales]]-Table1[[#This Row],[Commission]]</f>
        <v>3728.1295879372747</v>
      </c>
      <c r="L132">
        <f>Table1[[#This Row],[Sales]]+Table1[[#This Row],[Commission]]-Table1[[#This Row],[Revenue]]</f>
        <v>547.74082412545067</v>
      </c>
      <c r="M132">
        <f>Table1[[#This Row],[Revenue]]-Table1[[#This Row],[Cost]]</f>
        <v>3180.388763811824</v>
      </c>
    </row>
    <row r="133" spans="1:13" x14ac:dyDescent="0.3">
      <c r="A133" s="1">
        <v>44804</v>
      </c>
      <c r="B133">
        <f>YEAR(Table1[[#This Row],[Date]])</f>
        <v>2022</v>
      </c>
      <c r="C133" t="s">
        <v>66</v>
      </c>
      <c r="D133" t="s">
        <v>6</v>
      </c>
      <c r="E133" t="s">
        <v>10</v>
      </c>
      <c r="F133">
        <v>3839</v>
      </c>
      <c r="G133">
        <v>254.3806624604043</v>
      </c>
      <c r="H133" t="str">
        <f>VLOOKUP(Table1[[#This Row],[Manager]],Managers!$A$2:$B$9,2,FALSE)</f>
        <v>Ken Adams</v>
      </c>
      <c r="I133" t="str">
        <f>VLOOKUP(Table1[[#This Row],[Product]],Products!$A$2:$B$11,2,FALSE)</f>
        <v>Mockolate</v>
      </c>
      <c r="J133" t="str">
        <f>IF(Table1[[#This Row],[Sales]]&gt;4000,"Exceeded the target",IF(AND(Table1[[#This Row],[Sales]]&lt;=4000,Table1[[#This Row],[Sales]]&lt;2500),"Did not meet the target","met the target"))</f>
        <v>met the target</v>
      </c>
      <c r="K133">
        <f>Table1[[#This Row],[Sales]]-Table1[[#This Row],[Commission]]</f>
        <v>3584.6193375395956</v>
      </c>
      <c r="L133">
        <f>Table1[[#This Row],[Sales]]+Table1[[#This Row],[Commission]]-Table1[[#This Row],[Revenue]]</f>
        <v>508.76132492080887</v>
      </c>
      <c r="M133">
        <f>Table1[[#This Row],[Revenue]]-Table1[[#This Row],[Cost]]</f>
        <v>3075.8580126187867</v>
      </c>
    </row>
    <row r="134" spans="1:13" x14ac:dyDescent="0.3">
      <c r="A134" s="1">
        <v>44834</v>
      </c>
      <c r="B134">
        <f>YEAR(Table1[[#This Row],[Date]])</f>
        <v>2022</v>
      </c>
      <c r="C134" t="s">
        <v>55</v>
      </c>
      <c r="D134" t="s">
        <v>6</v>
      </c>
      <c r="E134" t="s">
        <v>8</v>
      </c>
      <c r="F134">
        <v>4678</v>
      </c>
      <c r="G134">
        <v>157.10651976672781</v>
      </c>
      <c r="H134" t="str">
        <f>VLOOKUP(Table1[[#This Row],[Manager]],Managers!$A$2:$B$9,2,FALSE)</f>
        <v>Ken Adams</v>
      </c>
      <c r="I134" t="str">
        <f>VLOOKUP(Table1[[#This Row],[Product]],Products!$A$2:$B$11,2,FALSE)</f>
        <v>Traditional English Trifle</v>
      </c>
      <c r="J134" t="str">
        <f>IF(Table1[[#This Row],[Sales]]&gt;4000,"Exceeded the target",IF(AND(Table1[[#This Row],[Sales]]&lt;=4000,Table1[[#This Row],[Sales]]&lt;2500),"Did not meet the target","met the target"))</f>
        <v>Exceeded the target</v>
      </c>
      <c r="K134">
        <f>Table1[[#This Row],[Sales]]-Table1[[#This Row],[Commission]]</f>
        <v>4520.8934802332724</v>
      </c>
      <c r="L134">
        <f>Table1[[#This Row],[Sales]]+Table1[[#This Row],[Commission]]-Table1[[#This Row],[Revenue]]</f>
        <v>314.21303953345523</v>
      </c>
      <c r="M134">
        <f>Table1[[#This Row],[Revenue]]-Table1[[#This Row],[Cost]]</f>
        <v>4206.6804406998172</v>
      </c>
    </row>
    <row r="135" spans="1:13" x14ac:dyDescent="0.3">
      <c r="A135" s="1">
        <v>44834</v>
      </c>
      <c r="B135">
        <f>YEAR(Table1[[#This Row],[Date]])</f>
        <v>2022</v>
      </c>
      <c r="C135" t="s">
        <v>56</v>
      </c>
      <c r="D135" t="s">
        <v>6</v>
      </c>
      <c r="E135" t="s">
        <v>10</v>
      </c>
      <c r="F135">
        <v>2905</v>
      </c>
      <c r="G135">
        <v>115.6616697849006</v>
      </c>
      <c r="H135" t="str">
        <f>VLOOKUP(Table1[[#This Row],[Manager]],Managers!$A$2:$B$9,2,FALSE)</f>
        <v>Ken Adams</v>
      </c>
      <c r="I135" t="str">
        <f>VLOOKUP(Table1[[#This Row],[Product]],Products!$A$2:$B$11,2,FALSE)</f>
        <v>Mockolate</v>
      </c>
      <c r="J135" t="str">
        <f>IF(Table1[[#This Row],[Sales]]&gt;4000,"Exceeded the target",IF(AND(Table1[[#This Row],[Sales]]&lt;=4000,Table1[[#This Row],[Sales]]&lt;2500),"Did not meet the target","met the target"))</f>
        <v>met the target</v>
      </c>
      <c r="K135">
        <f>Table1[[#This Row],[Sales]]-Table1[[#This Row],[Commission]]</f>
        <v>2789.3383302150996</v>
      </c>
      <c r="L135">
        <f>Table1[[#This Row],[Sales]]+Table1[[#This Row],[Commission]]-Table1[[#This Row],[Revenue]]</f>
        <v>231.32333956980074</v>
      </c>
      <c r="M135">
        <f>Table1[[#This Row],[Revenue]]-Table1[[#This Row],[Cost]]</f>
        <v>2558.0149906452989</v>
      </c>
    </row>
    <row r="136" spans="1:13" x14ac:dyDescent="0.3">
      <c r="A136" s="1">
        <v>44834</v>
      </c>
      <c r="B136">
        <f>YEAR(Table1[[#This Row],[Date]])</f>
        <v>2022</v>
      </c>
      <c r="C136" t="s">
        <v>57</v>
      </c>
      <c r="D136" t="s">
        <v>6</v>
      </c>
      <c r="E136" t="s">
        <v>9</v>
      </c>
      <c r="F136">
        <v>1256</v>
      </c>
      <c r="G136">
        <v>71.443681841460659</v>
      </c>
      <c r="H136" t="str">
        <f>VLOOKUP(Table1[[#This Row],[Manager]],Managers!$A$2:$B$9,2,FALSE)</f>
        <v>Ken Adams</v>
      </c>
      <c r="I136" t="str">
        <f>VLOOKUP(Table1[[#This Row],[Product]],Products!$A$2:$B$11,2,FALSE)</f>
        <v>Floor Cheesecake</v>
      </c>
      <c r="J136" t="str">
        <f>IF(Table1[[#This Row],[Sales]]&gt;4000,"Exceeded the target",IF(AND(Table1[[#This Row],[Sales]]&lt;=4000,Table1[[#This Row],[Sales]]&lt;2500),"Did not meet the target","met the target"))</f>
        <v>Did not meet the target</v>
      </c>
      <c r="K136">
        <f>Table1[[#This Row],[Sales]]-Table1[[#This Row],[Commission]]</f>
        <v>1184.5563181585394</v>
      </c>
      <c r="L136">
        <f>Table1[[#This Row],[Sales]]+Table1[[#This Row],[Commission]]-Table1[[#This Row],[Revenue]]</f>
        <v>142.8873636829212</v>
      </c>
      <c r="M136">
        <f>Table1[[#This Row],[Revenue]]-Table1[[#This Row],[Cost]]</f>
        <v>1041.6689544756182</v>
      </c>
    </row>
    <row r="137" spans="1:13" x14ac:dyDescent="0.3">
      <c r="A137" s="1">
        <v>44865</v>
      </c>
      <c r="B137">
        <f>YEAR(Table1[[#This Row],[Date]])</f>
        <v>2022</v>
      </c>
      <c r="C137" t="s">
        <v>58</v>
      </c>
      <c r="D137" t="s">
        <v>6</v>
      </c>
      <c r="E137" t="s">
        <v>9</v>
      </c>
      <c r="F137">
        <v>3431</v>
      </c>
      <c r="G137">
        <v>155.07117542773261</v>
      </c>
      <c r="H137" t="str">
        <f>VLOOKUP(Table1[[#This Row],[Manager]],Managers!$A$2:$B$9,2,FALSE)</f>
        <v>Ken Adams</v>
      </c>
      <c r="I137" t="str">
        <f>VLOOKUP(Table1[[#This Row],[Product]],Products!$A$2:$B$11,2,FALSE)</f>
        <v>Floor Cheesecake</v>
      </c>
      <c r="J137" t="str">
        <f>IF(Table1[[#This Row],[Sales]]&gt;4000,"Exceeded the target",IF(AND(Table1[[#This Row],[Sales]]&lt;=4000,Table1[[#This Row],[Sales]]&lt;2500),"Did not meet the target","met the target"))</f>
        <v>met the target</v>
      </c>
      <c r="K137">
        <f>Table1[[#This Row],[Sales]]-Table1[[#This Row],[Commission]]</f>
        <v>3275.9288245722673</v>
      </c>
      <c r="L137">
        <f>Table1[[#This Row],[Sales]]+Table1[[#This Row],[Commission]]-Table1[[#This Row],[Revenue]]</f>
        <v>310.14235085546534</v>
      </c>
      <c r="M137">
        <f>Table1[[#This Row],[Revenue]]-Table1[[#This Row],[Cost]]</f>
        <v>2965.786473716802</v>
      </c>
    </row>
    <row r="138" spans="1:13" x14ac:dyDescent="0.3">
      <c r="A138" s="1">
        <v>44865</v>
      </c>
      <c r="B138">
        <f>YEAR(Table1[[#This Row],[Date]])</f>
        <v>2022</v>
      </c>
      <c r="C138" t="s">
        <v>59</v>
      </c>
      <c r="D138" t="s">
        <v>6</v>
      </c>
      <c r="E138" t="s">
        <v>10</v>
      </c>
      <c r="F138">
        <v>2536</v>
      </c>
      <c r="G138">
        <v>94.455953558591446</v>
      </c>
      <c r="H138" t="str">
        <f>VLOOKUP(Table1[[#This Row],[Manager]],Managers!$A$2:$B$9,2,FALSE)</f>
        <v>Ken Adams</v>
      </c>
      <c r="I138" t="str">
        <f>VLOOKUP(Table1[[#This Row],[Product]],Products!$A$2:$B$11,2,FALSE)</f>
        <v>Mockolate</v>
      </c>
      <c r="J138" t="str">
        <f>IF(Table1[[#This Row],[Sales]]&gt;4000,"Exceeded the target",IF(AND(Table1[[#This Row],[Sales]]&lt;=4000,Table1[[#This Row],[Sales]]&lt;2500),"Did not meet the target","met the target"))</f>
        <v>met the target</v>
      </c>
      <c r="K138">
        <f>Table1[[#This Row],[Sales]]-Table1[[#This Row],[Commission]]</f>
        <v>2441.5440464414087</v>
      </c>
      <c r="L138">
        <f>Table1[[#This Row],[Sales]]+Table1[[#This Row],[Commission]]-Table1[[#This Row],[Revenue]]</f>
        <v>188.91190711718264</v>
      </c>
      <c r="M138">
        <f>Table1[[#This Row],[Revenue]]-Table1[[#This Row],[Cost]]</f>
        <v>2252.632139324226</v>
      </c>
    </row>
    <row r="139" spans="1:13" x14ac:dyDescent="0.3">
      <c r="A139" s="1">
        <v>44865</v>
      </c>
      <c r="B139">
        <f>YEAR(Table1[[#This Row],[Date]])</f>
        <v>2022</v>
      </c>
      <c r="C139" t="s">
        <v>60</v>
      </c>
      <c r="D139" t="s">
        <v>6</v>
      </c>
      <c r="E139" t="s">
        <v>8</v>
      </c>
      <c r="F139">
        <v>1201</v>
      </c>
      <c r="G139">
        <v>49.650245389807267</v>
      </c>
      <c r="H139" t="str">
        <f>VLOOKUP(Table1[[#This Row],[Manager]],Managers!$A$2:$B$9,2,FALSE)</f>
        <v>Ken Adams</v>
      </c>
      <c r="I139" t="str">
        <f>VLOOKUP(Table1[[#This Row],[Product]],Products!$A$2:$B$11,2,FALSE)</f>
        <v>Traditional English Trifle</v>
      </c>
      <c r="J139" t="str">
        <f>IF(Table1[[#This Row],[Sales]]&gt;4000,"Exceeded the target",IF(AND(Table1[[#This Row],[Sales]]&lt;=4000,Table1[[#This Row],[Sales]]&lt;2500),"Did not meet the target","met the target"))</f>
        <v>Did not meet the target</v>
      </c>
      <c r="K139">
        <f>Table1[[#This Row],[Sales]]-Table1[[#This Row],[Commission]]</f>
        <v>1151.3497546101928</v>
      </c>
      <c r="L139">
        <f>Table1[[#This Row],[Sales]]+Table1[[#This Row],[Commission]]-Table1[[#This Row],[Revenue]]</f>
        <v>99.300490779614393</v>
      </c>
      <c r="M139">
        <f>Table1[[#This Row],[Revenue]]-Table1[[#This Row],[Cost]]</f>
        <v>1052.0492638305784</v>
      </c>
    </row>
    <row r="140" spans="1:13" x14ac:dyDescent="0.3">
      <c r="A140" s="1">
        <v>44895</v>
      </c>
      <c r="B140">
        <f>YEAR(Table1[[#This Row],[Date]])</f>
        <v>2022</v>
      </c>
      <c r="C140" t="s">
        <v>61</v>
      </c>
      <c r="D140" t="s">
        <v>6</v>
      </c>
      <c r="E140" t="s">
        <v>9</v>
      </c>
      <c r="F140">
        <v>3171</v>
      </c>
      <c r="G140">
        <v>196.5761099989372</v>
      </c>
      <c r="H140" t="str">
        <f>VLOOKUP(Table1[[#This Row],[Manager]],Managers!$A$2:$B$9,2,FALSE)</f>
        <v>Ken Adams</v>
      </c>
      <c r="I140" t="str">
        <f>VLOOKUP(Table1[[#This Row],[Product]],Products!$A$2:$B$11,2,FALSE)</f>
        <v>Floor Cheesecake</v>
      </c>
      <c r="J140" t="str">
        <f>IF(Table1[[#This Row],[Sales]]&gt;4000,"Exceeded the target",IF(AND(Table1[[#This Row],[Sales]]&lt;=4000,Table1[[#This Row],[Sales]]&lt;2500),"Did not meet the target","met the target"))</f>
        <v>met the target</v>
      </c>
      <c r="K140">
        <f>Table1[[#This Row],[Sales]]-Table1[[#This Row],[Commission]]</f>
        <v>2974.4238900010628</v>
      </c>
      <c r="L140">
        <f>Table1[[#This Row],[Sales]]+Table1[[#This Row],[Commission]]-Table1[[#This Row],[Revenue]]</f>
        <v>393.15221999787445</v>
      </c>
      <c r="M140">
        <f>Table1[[#This Row],[Revenue]]-Table1[[#This Row],[Cost]]</f>
        <v>2581.2716700031883</v>
      </c>
    </row>
    <row r="141" spans="1:13" x14ac:dyDescent="0.3">
      <c r="A141" s="1">
        <v>44895</v>
      </c>
      <c r="B141">
        <f>YEAR(Table1[[#This Row],[Date]])</f>
        <v>2022</v>
      </c>
      <c r="C141" t="s">
        <v>62</v>
      </c>
      <c r="D141" t="s">
        <v>6</v>
      </c>
      <c r="E141" t="s">
        <v>8</v>
      </c>
      <c r="F141">
        <v>3782</v>
      </c>
      <c r="G141">
        <v>120.2089489337224</v>
      </c>
      <c r="H141" t="str">
        <f>VLOOKUP(Table1[[#This Row],[Manager]],Managers!$A$2:$B$9,2,FALSE)</f>
        <v>Ken Adams</v>
      </c>
      <c r="I141" t="str">
        <f>VLOOKUP(Table1[[#This Row],[Product]],Products!$A$2:$B$11,2,FALSE)</f>
        <v>Traditional English Trifle</v>
      </c>
      <c r="J141" t="str">
        <f>IF(Table1[[#This Row],[Sales]]&gt;4000,"Exceeded the target",IF(AND(Table1[[#This Row],[Sales]]&lt;=4000,Table1[[#This Row],[Sales]]&lt;2500),"Did not meet the target","met the target"))</f>
        <v>met the target</v>
      </c>
      <c r="K141">
        <f>Table1[[#This Row],[Sales]]-Table1[[#This Row],[Commission]]</f>
        <v>3661.7910510662778</v>
      </c>
      <c r="L141">
        <f>Table1[[#This Row],[Sales]]+Table1[[#This Row],[Commission]]-Table1[[#This Row],[Revenue]]</f>
        <v>240.41789786744448</v>
      </c>
      <c r="M141">
        <f>Table1[[#This Row],[Revenue]]-Table1[[#This Row],[Cost]]</f>
        <v>3421.3731531988333</v>
      </c>
    </row>
    <row r="142" spans="1:13" x14ac:dyDescent="0.3">
      <c r="A142" s="1">
        <v>44895</v>
      </c>
      <c r="B142">
        <f>YEAR(Table1[[#This Row],[Date]])</f>
        <v>2022</v>
      </c>
      <c r="C142" t="s">
        <v>63</v>
      </c>
      <c r="D142" t="s">
        <v>6</v>
      </c>
      <c r="E142" t="s">
        <v>10</v>
      </c>
      <c r="F142">
        <v>2987</v>
      </c>
      <c r="G142">
        <v>98.804756285962867</v>
      </c>
      <c r="H142" t="str">
        <f>VLOOKUP(Table1[[#This Row],[Manager]],Managers!$A$2:$B$9,2,FALSE)</f>
        <v>Ken Adams</v>
      </c>
      <c r="I142" t="str">
        <f>VLOOKUP(Table1[[#This Row],[Product]],Products!$A$2:$B$11,2,FALSE)</f>
        <v>Mockolate</v>
      </c>
      <c r="J142" t="str">
        <f>IF(Table1[[#This Row],[Sales]]&gt;4000,"Exceeded the target",IF(AND(Table1[[#This Row],[Sales]]&lt;=4000,Table1[[#This Row],[Sales]]&lt;2500),"Did not meet the target","met the target"))</f>
        <v>met the target</v>
      </c>
      <c r="K142">
        <f>Table1[[#This Row],[Sales]]-Table1[[#This Row],[Commission]]</f>
        <v>2888.1952437140371</v>
      </c>
      <c r="L142">
        <f>Table1[[#This Row],[Sales]]+Table1[[#This Row],[Commission]]-Table1[[#This Row],[Revenue]]</f>
        <v>197.60951257192573</v>
      </c>
      <c r="M142">
        <f>Table1[[#This Row],[Revenue]]-Table1[[#This Row],[Cost]]</f>
        <v>2690.5857311421114</v>
      </c>
    </row>
    <row r="143" spans="1:13" x14ac:dyDescent="0.3">
      <c r="A143" s="1">
        <v>44926</v>
      </c>
      <c r="B143">
        <f>YEAR(Table1[[#This Row],[Date]])</f>
        <v>2022</v>
      </c>
      <c r="C143" t="s">
        <v>64</v>
      </c>
      <c r="D143" t="s">
        <v>6</v>
      </c>
      <c r="E143" t="s">
        <v>8</v>
      </c>
      <c r="F143">
        <v>3826</v>
      </c>
      <c r="G143">
        <v>174.87508553876731</v>
      </c>
      <c r="H143" t="str">
        <f>VLOOKUP(Table1[[#This Row],[Manager]],Managers!$A$2:$B$9,2,FALSE)</f>
        <v>Ken Adams</v>
      </c>
      <c r="I143" t="str">
        <f>VLOOKUP(Table1[[#This Row],[Product]],Products!$A$2:$B$11,2,FALSE)</f>
        <v>Traditional English Trifle</v>
      </c>
      <c r="J143" t="str">
        <f>IF(Table1[[#This Row],[Sales]]&gt;4000,"Exceeded the target",IF(AND(Table1[[#This Row],[Sales]]&lt;=4000,Table1[[#This Row],[Sales]]&lt;2500),"Did not meet the target","met the target"))</f>
        <v>met the target</v>
      </c>
      <c r="K143">
        <f>Table1[[#This Row],[Sales]]-Table1[[#This Row],[Commission]]</f>
        <v>3651.1249144612325</v>
      </c>
      <c r="L143">
        <f>Table1[[#This Row],[Sales]]+Table1[[#This Row],[Commission]]-Table1[[#This Row],[Revenue]]</f>
        <v>349.75017107753501</v>
      </c>
      <c r="M143">
        <f>Table1[[#This Row],[Revenue]]-Table1[[#This Row],[Cost]]</f>
        <v>3301.3747433836975</v>
      </c>
    </row>
    <row r="144" spans="1:13" x14ac:dyDescent="0.3">
      <c r="A144" s="1">
        <v>44926</v>
      </c>
      <c r="B144">
        <f>YEAR(Table1[[#This Row],[Date]])</f>
        <v>2022</v>
      </c>
      <c r="C144" t="s">
        <v>65</v>
      </c>
      <c r="D144" t="s">
        <v>6</v>
      </c>
      <c r="E144" t="s">
        <v>10</v>
      </c>
      <c r="F144">
        <v>4115</v>
      </c>
      <c r="G144">
        <v>154.25174478218909</v>
      </c>
      <c r="H144" t="str">
        <f>VLOOKUP(Table1[[#This Row],[Manager]],Managers!$A$2:$B$9,2,FALSE)</f>
        <v>Ken Adams</v>
      </c>
      <c r="I144" t="str">
        <f>VLOOKUP(Table1[[#This Row],[Product]],Products!$A$2:$B$11,2,FALSE)</f>
        <v>Mockolate</v>
      </c>
      <c r="J144" t="str">
        <f>IF(Table1[[#This Row],[Sales]]&gt;4000,"Exceeded the target",IF(AND(Table1[[#This Row],[Sales]]&lt;=4000,Table1[[#This Row],[Sales]]&lt;2500),"Did not meet the target","met the target"))</f>
        <v>Exceeded the target</v>
      </c>
      <c r="K144">
        <f>Table1[[#This Row],[Sales]]-Table1[[#This Row],[Commission]]</f>
        <v>3960.7482552178108</v>
      </c>
      <c r="L144">
        <f>Table1[[#This Row],[Sales]]+Table1[[#This Row],[Commission]]-Table1[[#This Row],[Revenue]]</f>
        <v>308.50348956437847</v>
      </c>
      <c r="M144">
        <f>Table1[[#This Row],[Revenue]]-Table1[[#This Row],[Cost]]</f>
        <v>3652.2447656534323</v>
      </c>
    </row>
    <row r="145" spans="1:13" x14ac:dyDescent="0.3">
      <c r="A145" s="1">
        <v>44926</v>
      </c>
      <c r="B145">
        <f>YEAR(Table1[[#This Row],[Date]])</f>
        <v>2022</v>
      </c>
      <c r="C145" t="s">
        <v>66</v>
      </c>
      <c r="D145" t="s">
        <v>6</v>
      </c>
      <c r="E145" t="s">
        <v>9</v>
      </c>
      <c r="F145">
        <v>1086</v>
      </c>
      <c r="G145">
        <v>74.126264598256014</v>
      </c>
      <c r="H145" t="str">
        <f>VLOOKUP(Table1[[#This Row],[Manager]],Managers!$A$2:$B$9,2,FALSE)</f>
        <v>Ken Adams</v>
      </c>
      <c r="I145" t="str">
        <f>VLOOKUP(Table1[[#This Row],[Product]],Products!$A$2:$B$11,2,FALSE)</f>
        <v>Floor Cheesecake</v>
      </c>
      <c r="J145" t="str">
        <f>IF(Table1[[#This Row],[Sales]]&gt;4000,"Exceeded the target",IF(AND(Table1[[#This Row],[Sales]]&lt;=4000,Table1[[#This Row],[Sales]]&lt;2500),"Did not meet the target","met the target"))</f>
        <v>Did not meet the target</v>
      </c>
      <c r="K145">
        <f>Table1[[#This Row],[Sales]]-Table1[[#This Row],[Commission]]</f>
        <v>1011.8737354017439</v>
      </c>
      <c r="L145">
        <f>Table1[[#This Row],[Sales]]+Table1[[#This Row],[Commission]]-Table1[[#This Row],[Revenue]]</f>
        <v>148.25252919651211</v>
      </c>
      <c r="M145">
        <f>Table1[[#This Row],[Revenue]]-Table1[[#This Row],[Cost]]</f>
        <v>863.62120620523183</v>
      </c>
    </row>
    <row r="146" spans="1:13" x14ac:dyDescent="0.3">
      <c r="A146" s="1">
        <v>44592</v>
      </c>
      <c r="B146">
        <f>YEAR(Table1[[#This Row],[Date]])</f>
        <v>2022</v>
      </c>
      <c r="C146" t="s">
        <v>55</v>
      </c>
      <c r="D146" t="s">
        <v>7</v>
      </c>
      <c r="E146" t="s">
        <v>9</v>
      </c>
      <c r="F146">
        <v>3647</v>
      </c>
      <c r="G146">
        <v>146.51552356066489</v>
      </c>
      <c r="H146" t="str">
        <f>VLOOKUP(Table1[[#This Row],[Manager]],Managers!$A$2:$B$9,2,FALSE)</f>
        <v>Chanandler Bong</v>
      </c>
      <c r="I146" t="str">
        <f>VLOOKUP(Table1[[#This Row],[Product]],Products!$A$2:$B$11,2,FALSE)</f>
        <v>Floor Cheesecake</v>
      </c>
      <c r="J146" t="str">
        <f>IF(Table1[[#This Row],[Sales]]&gt;4000,"Exceeded the target",IF(AND(Table1[[#This Row],[Sales]]&lt;=4000,Table1[[#This Row],[Sales]]&lt;2500),"Did not meet the target","met the target"))</f>
        <v>met the target</v>
      </c>
      <c r="K146">
        <f>Table1[[#This Row],[Sales]]-Table1[[#This Row],[Commission]]</f>
        <v>3500.4844764393351</v>
      </c>
      <c r="L146">
        <f>Table1[[#This Row],[Sales]]+Table1[[#This Row],[Commission]]-Table1[[#This Row],[Revenue]]</f>
        <v>293.03104712132972</v>
      </c>
      <c r="M146">
        <f>Table1[[#This Row],[Revenue]]-Table1[[#This Row],[Cost]]</f>
        <v>3207.4534293180054</v>
      </c>
    </row>
    <row r="147" spans="1:13" x14ac:dyDescent="0.3">
      <c r="A147" s="1">
        <v>44592</v>
      </c>
      <c r="B147">
        <f>YEAR(Table1[[#This Row],[Date]])</f>
        <v>2022</v>
      </c>
      <c r="C147" t="s">
        <v>56</v>
      </c>
      <c r="D147" t="s">
        <v>7</v>
      </c>
      <c r="E147" t="s">
        <v>10</v>
      </c>
      <c r="F147">
        <v>4142</v>
      </c>
      <c r="G147">
        <v>133.87427128245969</v>
      </c>
      <c r="H147" t="str">
        <f>VLOOKUP(Table1[[#This Row],[Manager]],Managers!$A$2:$B$9,2,FALSE)</f>
        <v>Chanandler Bong</v>
      </c>
      <c r="I147" t="str">
        <f>VLOOKUP(Table1[[#This Row],[Product]],Products!$A$2:$B$11,2,FALSE)</f>
        <v>Mockolate</v>
      </c>
      <c r="J147" t="str">
        <f>IF(Table1[[#This Row],[Sales]]&gt;4000,"Exceeded the target",IF(AND(Table1[[#This Row],[Sales]]&lt;=4000,Table1[[#This Row],[Sales]]&lt;2500),"Did not meet the target","met the target"))</f>
        <v>Exceeded the target</v>
      </c>
      <c r="K147">
        <f>Table1[[#This Row],[Sales]]-Table1[[#This Row],[Commission]]</f>
        <v>4008.1257287175404</v>
      </c>
      <c r="L147">
        <f>Table1[[#This Row],[Sales]]+Table1[[#This Row],[Commission]]-Table1[[#This Row],[Revenue]]</f>
        <v>267.74854256491926</v>
      </c>
      <c r="M147">
        <f>Table1[[#This Row],[Revenue]]-Table1[[#This Row],[Cost]]</f>
        <v>3740.3771861526211</v>
      </c>
    </row>
    <row r="148" spans="1:13" x14ac:dyDescent="0.3">
      <c r="A148" s="1">
        <v>44592</v>
      </c>
      <c r="B148">
        <f>YEAR(Table1[[#This Row],[Date]])</f>
        <v>2022</v>
      </c>
      <c r="C148" t="s">
        <v>57</v>
      </c>
      <c r="D148" t="s">
        <v>7</v>
      </c>
      <c r="E148" t="s">
        <v>8</v>
      </c>
      <c r="F148">
        <v>2828</v>
      </c>
      <c r="G148">
        <v>110.56514271634229</v>
      </c>
      <c r="H148" t="str">
        <f>VLOOKUP(Table1[[#This Row],[Manager]],Managers!$A$2:$B$9,2,FALSE)</f>
        <v>Chanandler Bong</v>
      </c>
      <c r="I148" t="str">
        <f>VLOOKUP(Table1[[#This Row],[Product]],Products!$A$2:$B$11,2,FALSE)</f>
        <v>Traditional English Trifle</v>
      </c>
      <c r="J148" t="str">
        <f>IF(Table1[[#This Row],[Sales]]&gt;4000,"Exceeded the target",IF(AND(Table1[[#This Row],[Sales]]&lt;=4000,Table1[[#This Row],[Sales]]&lt;2500),"Did not meet the target","met the target"))</f>
        <v>met the target</v>
      </c>
      <c r="K148">
        <f>Table1[[#This Row],[Sales]]-Table1[[#This Row],[Commission]]</f>
        <v>2717.4348572836575</v>
      </c>
      <c r="L148">
        <f>Table1[[#This Row],[Sales]]+Table1[[#This Row],[Commission]]-Table1[[#This Row],[Revenue]]</f>
        <v>221.13028543268501</v>
      </c>
      <c r="M148">
        <f>Table1[[#This Row],[Revenue]]-Table1[[#This Row],[Cost]]</f>
        <v>2496.3045718509725</v>
      </c>
    </row>
    <row r="149" spans="1:13" x14ac:dyDescent="0.3">
      <c r="A149" s="1">
        <v>44620</v>
      </c>
      <c r="B149">
        <f>YEAR(Table1[[#This Row],[Date]])</f>
        <v>2022</v>
      </c>
      <c r="C149" t="s">
        <v>58</v>
      </c>
      <c r="D149" t="s">
        <v>7</v>
      </c>
      <c r="E149" t="s">
        <v>9</v>
      </c>
      <c r="F149">
        <v>3893</v>
      </c>
      <c r="G149">
        <v>220.0445377867477</v>
      </c>
      <c r="H149" t="str">
        <f>VLOOKUP(Table1[[#This Row],[Manager]],Managers!$A$2:$B$9,2,FALSE)</f>
        <v>Chanandler Bong</v>
      </c>
      <c r="I149" t="str">
        <f>VLOOKUP(Table1[[#This Row],[Product]],Products!$A$2:$B$11,2,FALSE)</f>
        <v>Floor Cheesecake</v>
      </c>
      <c r="J149" t="str">
        <f>IF(Table1[[#This Row],[Sales]]&gt;4000,"Exceeded the target",IF(AND(Table1[[#This Row],[Sales]]&lt;=4000,Table1[[#This Row],[Sales]]&lt;2500),"Did not meet the target","met the target"))</f>
        <v>met the target</v>
      </c>
      <c r="K149">
        <f>Table1[[#This Row],[Sales]]-Table1[[#This Row],[Commission]]</f>
        <v>3672.9554622132523</v>
      </c>
      <c r="L149">
        <f>Table1[[#This Row],[Sales]]+Table1[[#This Row],[Commission]]-Table1[[#This Row],[Revenue]]</f>
        <v>440.08907557349494</v>
      </c>
      <c r="M149">
        <f>Table1[[#This Row],[Revenue]]-Table1[[#This Row],[Cost]]</f>
        <v>3232.8663866397574</v>
      </c>
    </row>
    <row r="150" spans="1:13" x14ac:dyDescent="0.3">
      <c r="A150" s="1">
        <v>44620</v>
      </c>
      <c r="B150">
        <f>YEAR(Table1[[#This Row],[Date]])</f>
        <v>2022</v>
      </c>
      <c r="C150" t="s">
        <v>59</v>
      </c>
      <c r="D150" t="s">
        <v>7</v>
      </c>
      <c r="E150" t="s">
        <v>10</v>
      </c>
      <c r="F150">
        <v>3120</v>
      </c>
      <c r="G150">
        <v>126.4626326167964</v>
      </c>
      <c r="H150" t="str">
        <f>VLOOKUP(Table1[[#This Row],[Manager]],Managers!$A$2:$B$9,2,FALSE)</f>
        <v>Chanandler Bong</v>
      </c>
      <c r="I150" t="str">
        <f>VLOOKUP(Table1[[#This Row],[Product]],Products!$A$2:$B$11,2,FALSE)</f>
        <v>Mockolate</v>
      </c>
      <c r="J150" t="str">
        <f>IF(Table1[[#This Row],[Sales]]&gt;4000,"Exceeded the target",IF(AND(Table1[[#This Row],[Sales]]&lt;=4000,Table1[[#This Row],[Sales]]&lt;2500),"Did not meet the target","met the target"))</f>
        <v>met the target</v>
      </c>
      <c r="K150">
        <f>Table1[[#This Row],[Sales]]-Table1[[#This Row],[Commission]]</f>
        <v>2993.5373673832037</v>
      </c>
      <c r="L150">
        <f>Table1[[#This Row],[Sales]]+Table1[[#This Row],[Commission]]-Table1[[#This Row],[Revenue]]</f>
        <v>252.92526523359265</v>
      </c>
      <c r="M150">
        <f>Table1[[#This Row],[Revenue]]-Table1[[#This Row],[Cost]]</f>
        <v>2740.612102149611</v>
      </c>
    </row>
    <row r="151" spans="1:13" x14ac:dyDescent="0.3">
      <c r="A151" s="1">
        <v>44620</v>
      </c>
      <c r="B151">
        <f>YEAR(Table1[[#This Row],[Date]])</f>
        <v>2022</v>
      </c>
      <c r="C151" t="s">
        <v>60</v>
      </c>
      <c r="D151" t="s">
        <v>7</v>
      </c>
      <c r="E151" t="s">
        <v>8</v>
      </c>
      <c r="F151">
        <v>1537</v>
      </c>
      <c r="G151">
        <v>59.444826600818168</v>
      </c>
      <c r="H151" t="str">
        <f>VLOOKUP(Table1[[#This Row],[Manager]],Managers!$A$2:$B$9,2,FALSE)</f>
        <v>Chanandler Bong</v>
      </c>
      <c r="I151" t="str">
        <f>VLOOKUP(Table1[[#This Row],[Product]],Products!$A$2:$B$11,2,FALSE)</f>
        <v>Traditional English Trifle</v>
      </c>
      <c r="J151" t="str">
        <f>IF(Table1[[#This Row],[Sales]]&gt;4000,"Exceeded the target",IF(AND(Table1[[#This Row],[Sales]]&lt;=4000,Table1[[#This Row],[Sales]]&lt;2500),"Did not meet the target","met the target"))</f>
        <v>Did not meet the target</v>
      </c>
      <c r="K151">
        <f>Table1[[#This Row],[Sales]]-Table1[[#This Row],[Commission]]</f>
        <v>1477.5551733991817</v>
      </c>
      <c r="L151">
        <f>Table1[[#This Row],[Sales]]+Table1[[#This Row],[Commission]]-Table1[[#This Row],[Revenue]]</f>
        <v>118.88965320163652</v>
      </c>
      <c r="M151">
        <f>Table1[[#This Row],[Revenue]]-Table1[[#This Row],[Cost]]</f>
        <v>1358.6655201975452</v>
      </c>
    </row>
    <row r="152" spans="1:13" x14ac:dyDescent="0.3">
      <c r="A152" s="1">
        <v>44651</v>
      </c>
      <c r="B152">
        <f>YEAR(Table1[[#This Row],[Date]])</f>
        <v>2022</v>
      </c>
      <c r="C152" t="s">
        <v>61</v>
      </c>
      <c r="D152" t="s">
        <v>7</v>
      </c>
      <c r="E152" t="s">
        <v>8</v>
      </c>
      <c r="F152">
        <v>3008</v>
      </c>
      <c r="G152">
        <v>172.95858941498199</v>
      </c>
      <c r="H152" t="str">
        <f>VLOOKUP(Table1[[#This Row],[Manager]],Managers!$A$2:$B$9,2,FALSE)</f>
        <v>Chanandler Bong</v>
      </c>
      <c r="I152" t="str">
        <f>VLOOKUP(Table1[[#This Row],[Product]],Products!$A$2:$B$11,2,FALSE)</f>
        <v>Traditional English Trifle</v>
      </c>
      <c r="J152" t="str">
        <f>IF(Table1[[#This Row],[Sales]]&gt;4000,"Exceeded the target",IF(AND(Table1[[#This Row],[Sales]]&lt;=4000,Table1[[#This Row],[Sales]]&lt;2500),"Did not meet the target","met the target"))</f>
        <v>met the target</v>
      </c>
      <c r="K152">
        <f>Table1[[#This Row],[Sales]]-Table1[[#This Row],[Commission]]</f>
        <v>2835.0414105850182</v>
      </c>
      <c r="L152">
        <f>Table1[[#This Row],[Sales]]+Table1[[#This Row],[Commission]]-Table1[[#This Row],[Revenue]]</f>
        <v>345.91717882996363</v>
      </c>
      <c r="M152">
        <f>Table1[[#This Row],[Revenue]]-Table1[[#This Row],[Cost]]</f>
        <v>2489.1242317550546</v>
      </c>
    </row>
    <row r="153" spans="1:13" x14ac:dyDescent="0.3">
      <c r="A153" s="1">
        <v>44651</v>
      </c>
      <c r="B153">
        <f>YEAR(Table1[[#This Row],[Date]])</f>
        <v>2022</v>
      </c>
      <c r="C153" t="s">
        <v>62</v>
      </c>
      <c r="D153" t="s">
        <v>7</v>
      </c>
      <c r="E153" t="s">
        <v>9</v>
      </c>
      <c r="F153">
        <v>4249</v>
      </c>
      <c r="G153">
        <v>164.09768480222041</v>
      </c>
      <c r="H153" t="str">
        <f>VLOOKUP(Table1[[#This Row],[Manager]],Managers!$A$2:$B$9,2,FALSE)</f>
        <v>Chanandler Bong</v>
      </c>
      <c r="I153" t="str">
        <f>VLOOKUP(Table1[[#This Row],[Product]],Products!$A$2:$B$11,2,FALSE)</f>
        <v>Floor Cheesecake</v>
      </c>
      <c r="J153" t="str">
        <f>IF(Table1[[#This Row],[Sales]]&gt;4000,"Exceeded the target",IF(AND(Table1[[#This Row],[Sales]]&lt;=4000,Table1[[#This Row],[Sales]]&lt;2500),"Did not meet the target","met the target"))</f>
        <v>Exceeded the target</v>
      </c>
      <c r="K153">
        <f>Table1[[#This Row],[Sales]]-Table1[[#This Row],[Commission]]</f>
        <v>4084.9023151977794</v>
      </c>
      <c r="L153">
        <f>Table1[[#This Row],[Sales]]+Table1[[#This Row],[Commission]]-Table1[[#This Row],[Revenue]]</f>
        <v>328.19536960444066</v>
      </c>
      <c r="M153">
        <f>Table1[[#This Row],[Revenue]]-Table1[[#This Row],[Cost]]</f>
        <v>3756.7069455933388</v>
      </c>
    </row>
    <row r="154" spans="1:13" x14ac:dyDescent="0.3">
      <c r="A154" s="1">
        <v>44651</v>
      </c>
      <c r="B154">
        <f>YEAR(Table1[[#This Row],[Date]])</f>
        <v>2022</v>
      </c>
      <c r="C154" t="s">
        <v>63</v>
      </c>
      <c r="D154" t="s">
        <v>7</v>
      </c>
      <c r="E154" t="s">
        <v>10</v>
      </c>
      <c r="F154">
        <v>1755</v>
      </c>
      <c r="G154">
        <v>119.1554154523225</v>
      </c>
      <c r="H154" t="str">
        <f>VLOOKUP(Table1[[#This Row],[Manager]],Managers!$A$2:$B$9,2,FALSE)</f>
        <v>Chanandler Bong</v>
      </c>
      <c r="I154" t="str">
        <f>VLOOKUP(Table1[[#This Row],[Product]],Products!$A$2:$B$11,2,FALSE)</f>
        <v>Mockolate</v>
      </c>
      <c r="J154" t="str">
        <f>IF(Table1[[#This Row],[Sales]]&gt;4000,"Exceeded the target",IF(AND(Table1[[#This Row],[Sales]]&lt;=4000,Table1[[#This Row],[Sales]]&lt;2500),"Did not meet the target","met the target"))</f>
        <v>Did not meet the target</v>
      </c>
      <c r="K154">
        <f>Table1[[#This Row],[Sales]]-Table1[[#This Row],[Commission]]</f>
        <v>1635.8445845476774</v>
      </c>
      <c r="L154">
        <f>Table1[[#This Row],[Sales]]+Table1[[#This Row],[Commission]]-Table1[[#This Row],[Revenue]]</f>
        <v>238.31083090464517</v>
      </c>
      <c r="M154">
        <f>Table1[[#This Row],[Revenue]]-Table1[[#This Row],[Cost]]</f>
        <v>1397.5337536430322</v>
      </c>
    </row>
    <row r="155" spans="1:13" x14ac:dyDescent="0.3">
      <c r="A155" s="1">
        <v>44681</v>
      </c>
      <c r="B155">
        <f>YEAR(Table1[[#This Row],[Date]])</f>
        <v>2022</v>
      </c>
      <c r="C155" t="s">
        <v>64</v>
      </c>
      <c r="D155" t="s">
        <v>7</v>
      </c>
      <c r="E155" t="s">
        <v>10</v>
      </c>
      <c r="F155">
        <v>3723</v>
      </c>
      <c r="G155">
        <v>131.35758239692021</v>
      </c>
      <c r="H155" t="str">
        <f>VLOOKUP(Table1[[#This Row],[Manager]],Managers!$A$2:$B$9,2,FALSE)</f>
        <v>Chanandler Bong</v>
      </c>
      <c r="I155" t="str">
        <f>VLOOKUP(Table1[[#This Row],[Product]],Products!$A$2:$B$11,2,FALSE)</f>
        <v>Mockolate</v>
      </c>
      <c r="J155" t="str">
        <f>IF(Table1[[#This Row],[Sales]]&gt;4000,"Exceeded the target",IF(AND(Table1[[#This Row],[Sales]]&lt;=4000,Table1[[#This Row],[Sales]]&lt;2500),"Did not meet the target","met the target"))</f>
        <v>met the target</v>
      </c>
      <c r="K155">
        <f>Table1[[#This Row],[Sales]]-Table1[[#This Row],[Commission]]</f>
        <v>3591.6424176030796</v>
      </c>
      <c r="L155">
        <f>Table1[[#This Row],[Sales]]+Table1[[#This Row],[Commission]]-Table1[[#This Row],[Revenue]]</f>
        <v>262.71516479384081</v>
      </c>
      <c r="M155">
        <f>Table1[[#This Row],[Revenue]]-Table1[[#This Row],[Cost]]</f>
        <v>3328.9272528092388</v>
      </c>
    </row>
    <row r="156" spans="1:13" x14ac:dyDescent="0.3">
      <c r="A156" s="1">
        <v>44681</v>
      </c>
      <c r="B156">
        <f>YEAR(Table1[[#This Row],[Date]])</f>
        <v>2022</v>
      </c>
      <c r="C156" t="s">
        <v>65</v>
      </c>
      <c r="D156" t="s">
        <v>7</v>
      </c>
      <c r="E156" t="s">
        <v>8</v>
      </c>
      <c r="F156">
        <v>3292</v>
      </c>
      <c r="G156">
        <v>114.2365947930805</v>
      </c>
      <c r="H156" t="str">
        <f>VLOOKUP(Table1[[#This Row],[Manager]],Managers!$A$2:$B$9,2,FALSE)</f>
        <v>Chanandler Bong</v>
      </c>
      <c r="I156" t="str">
        <f>VLOOKUP(Table1[[#This Row],[Product]],Products!$A$2:$B$11,2,FALSE)</f>
        <v>Traditional English Trifle</v>
      </c>
      <c r="J156" t="str">
        <f>IF(Table1[[#This Row],[Sales]]&gt;4000,"Exceeded the target",IF(AND(Table1[[#This Row],[Sales]]&lt;=4000,Table1[[#This Row],[Sales]]&lt;2500),"Did not meet the target","met the target"))</f>
        <v>met the target</v>
      </c>
      <c r="K156">
        <f>Table1[[#This Row],[Sales]]-Table1[[#This Row],[Commission]]</f>
        <v>3177.7634052069193</v>
      </c>
      <c r="L156">
        <f>Table1[[#This Row],[Sales]]+Table1[[#This Row],[Commission]]-Table1[[#This Row],[Revenue]]</f>
        <v>228.47318958616142</v>
      </c>
      <c r="M156">
        <f>Table1[[#This Row],[Revenue]]-Table1[[#This Row],[Cost]]</f>
        <v>2949.2902156207579</v>
      </c>
    </row>
    <row r="157" spans="1:13" x14ac:dyDescent="0.3">
      <c r="A157" s="1">
        <v>44681</v>
      </c>
      <c r="B157">
        <f>YEAR(Table1[[#This Row],[Date]])</f>
        <v>2022</v>
      </c>
      <c r="C157" t="s">
        <v>66</v>
      </c>
      <c r="D157" t="s">
        <v>7</v>
      </c>
      <c r="E157" t="s">
        <v>9</v>
      </c>
      <c r="F157">
        <v>1151</v>
      </c>
      <c r="G157">
        <v>58.350134093375416</v>
      </c>
      <c r="H157" t="str">
        <f>VLOOKUP(Table1[[#This Row],[Manager]],Managers!$A$2:$B$9,2,FALSE)</f>
        <v>Chanandler Bong</v>
      </c>
      <c r="I157" t="str">
        <f>VLOOKUP(Table1[[#This Row],[Product]],Products!$A$2:$B$11,2,FALSE)</f>
        <v>Floor Cheesecake</v>
      </c>
      <c r="J157" t="str">
        <f>IF(Table1[[#This Row],[Sales]]&gt;4000,"Exceeded the target",IF(AND(Table1[[#This Row],[Sales]]&lt;=4000,Table1[[#This Row],[Sales]]&lt;2500),"Did not meet the target","met the target"))</f>
        <v>Did not meet the target</v>
      </c>
      <c r="K157">
        <f>Table1[[#This Row],[Sales]]-Table1[[#This Row],[Commission]]</f>
        <v>1092.6498659066247</v>
      </c>
      <c r="L157">
        <f>Table1[[#This Row],[Sales]]+Table1[[#This Row],[Commission]]-Table1[[#This Row],[Revenue]]</f>
        <v>116.70026818675069</v>
      </c>
      <c r="M157">
        <f>Table1[[#This Row],[Revenue]]-Table1[[#This Row],[Cost]]</f>
        <v>975.94959771987396</v>
      </c>
    </row>
    <row r="158" spans="1:13" x14ac:dyDescent="0.3">
      <c r="A158" s="1">
        <v>44712</v>
      </c>
      <c r="B158">
        <f>YEAR(Table1[[#This Row],[Date]])</f>
        <v>2022</v>
      </c>
      <c r="C158" t="s">
        <v>55</v>
      </c>
      <c r="D158" t="s">
        <v>7</v>
      </c>
      <c r="E158" t="s">
        <v>8</v>
      </c>
      <c r="F158">
        <v>4560</v>
      </c>
      <c r="G158">
        <v>237.51990651384691</v>
      </c>
      <c r="H158" t="str">
        <f>VLOOKUP(Table1[[#This Row],[Manager]],Managers!$A$2:$B$9,2,FALSE)</f>
        <v>Chanandler Bong</v>
      </c>
      <c r="I158" t="str">
        <f>VLOOKUP(Table1[[#This Row],[Product]],Products!$A$2:$B$11,2,FALSE)</f>
        <v>Traditional English Trifle</v>
      </c>
      <c r="J158" t="str">
        <f>IF(Table1[[#This Row],[Sales]]&gt;4000,"Exceeded the target",IF(AND(Table1[[#This Row],[Sales]]&lt;=4000,Table1[[#This Row],[Sales]]&lt;2500),"Did not meet the target","met the target"))</f>
        <v>Exceeded the target</v>
      </c>
      <c r="K158">
        <f>Table1[[#This Row],[Sales]]-Table1[[#This Row],[Commission]]</f>
        <v>4322.4800934861532</v>
      </c>
      <c r="L158">
        <f>Table1[[#This Row],[Sales]]+Table1[[#This Row],[Commission]]-Table1[[#This Row],[Revenue]]</f>
        <v>475.03981302769353</v>
      </c>
      <c r="M158">
        <f>Table1[[#This Row],[Revenue]]-Table1[[#This Row],[Cost]]</f>
        <v>3847.4402804584597</v>
      </c>
    </row>
    <row r="159" spans="1:13" x14ac:dyDescent="0.3">
      <c r="A159" s="1">
        <v>44712</v>
      </c>
      <c r="B159">
        <f>YEAR(Table1[[#This Row],[Date]])</f>
        <v>2022</v>
      </c>
      <c r="C159" t="s">
        <v>56</v>
      </c>
      <c r="D159" t="s">
        <v>7</v>
      </c>
      <c r="E159" t="s">
        <v>9</v>
      </c>
      <c r="F159">
        <v>1756</v>
      </c>
      <c r="G159">
        <v>93.733599083453214</v>
      </c>
      <c r="H159" t="str">
        <f>VLOOKUP(Table1[[#This Row],[Manager]],Managers!$A$2:$B$9,2,FALSE)</f>
        <v>Chanandler Bong</v>
      </c>
      <c r="I159" t="str">
        <f>VLOOKUP(Table1[[#This Row],[Product]],Products!$A$2:$B$11,2,FALSE)</f>
        <v>Floor Cheesecake</v>
      </c>
      <c r="J159" t="str">
        <f>IF(Table1[[#This Row],[Sales]]&gt;4000,"Exceeded the target",IF(AND(Table1[[#This Row],[Sales]]&lt;=4000,Table1[[#This Row],[Sales]]&lt;2500),"Did not meet the target","met the target"))</f>
        <v>Did not meet the target</v>
      </c>
      <c r="K159">
        <f>Table1[[#This Row],[Sales]]-Table1[[#This Row],[Commission]]</f>
        <v>1662.2664009165469</v>
      </c>
      <c r="L159">
        <f>Table1[[#This Row],[Sales]]+Table1[[#This Row],[Commission]]-Table1[[#This Row],[Revenue]]</f>
        <v>187.4671981669062</v>
      </c>
      <c r="M159">
        <f>Table1[[#This Row],[Revenue]]-Table1[[#This Row],[Cost]]</f>
        <v>1474.7992027496407</v>
      </c>
    </row>
    <row r="160" spans="1:13" x14ac:dyDescent="0.3">
      <c r="A160" s="1">
        <v>44712</v>
      </c>
      <c r="B160">
        <f>YEAR(Table1[[#This Row],[Date]])</f>
        <v>2022</v>
      </c>
      <c r="C160" t="s">
        <v>57</v>
      </c>
      <c r="D160" t="s">
        <v>7</v>
      </c>
      <c r="E160" t="s">
        <v>10</v>
      </c>
      <c r="F160">
        <v>1273</v>
      </c>
      <c r="G160">
        <v>87.171800395624899</v>
      </c>
      <c r="H160" t="str">
        <f>VLOOKUP(Table1[[#This Row],[Manager]],Managers!$A$2:$B$9,2,FALSE)</f>
        <v>Chanandler Bong</v>
      </c>
      <c r="I160" t="str">
        <f>VLOOKUP(Table1[[#This Row],[Product]],Products!$A$2:$B$11,2,FALSE)</f>
        <v>Mockolate</v>
      </c>
      <c r="J160" t="str">
        <f>IF(Table1[[#This Row],[Sales]]&gt;4000,"Exceeded the target",IF(AND(Table1[[#This Row],[Sales]]&lt;=4000,Table1[[#This Row],[Sales]]&lt;2500),"Did not meet the target","met the target"))</f>
        <v>Did not meet the target</v>
      </c>
      <c r="K160">
        <f>Table1[[#This Row],[Sales]]-Table1[[#This Row],[Commission]]</f>
        <v>1185.8281996043752</v>
      </c>
      <c r="L160">
        <f>Table1[[#This Row],[Sales]]+Table1[[#This Row],[Commission]]-Table1[[#This Row],[Revenue]]</f>
        <v>174.34360079124963</v>
      </c>
      <c r="M160">
        <f>Table1[[#This Row],[Revenue]]-Table1[[#This Row],[Cost]]</f>
        <v>1011.4845988131256</v>
      </c>
    </row>
    <row r="161" spans="1:13" x14ac:dyDescent="0.3">
      <c r="A161" s="1">
        <v>44742</v>
      </c>
      <c r="B161">
        <f>YEAR(Table1[[#This Row],[Date]])</f>
        <v>2022</v>
      </c>
      <c r="C161" t="s">
        <v>58</v>
      </c>
      <c r="D161" t="s">
        <v>7</v>
      </c>
      <c r="E161" t="s">
        <v>8</v>
      </c>
      <c r="F161">
        <v>4191</v>
      </c>
      <c r="G161">
        <v>272.6673393248733</v>
      </c>
      <c r="H161" t="str">
        <f>VLOOKUP(Table1[[#This Row],[Manager]],Managers!$A$2:$B$9,2,FALSE)</f>
        <v>Chanandler Bong</v>
      </c>
      <c r="I161" t="str">
        <f>VLOOKUP(Table1[[#This Row],[Product]],Products!$A$2:$B$11,2,FALSE)</f>
        <v>Traditional English Trifle</v>
      </c>
      <c r="J161" t="str">
        <f>IF(Table1[[#This Row],[Sales]]&gt;4000,"Exceeded the target",IF(AND(Table1[[#This Row],[Sales]]&lt;=4000,Table1[[#This Row],[Sales]]&lt;2500),"Did not meet the target","met the target"))</f>
        <v>Exceeded the target</v>
      </c>
      <c r="K161">
        <f>Table1[[#This Row],[Sales]]-Table1[[#This Row],[Commission]]</f>
        <v>3918.3326606751266</v>
      </c>
      <c r="L161">
        <f>Table1[[#This Row],[Sales]]+Table1[[#This Row],[Commission]]-Table1[[#This Row],[Revenue]]</f>
        <v>545.33467864974637</v>
      </c>
      <c r="M161">
        <f>Table1[[#This Row],[Revenue]]-Table1[[#This Row],[Cost]]</f>
        <v>3372.9979820253802</v>
      </c>
    </row>
    <row r="162" spans="1:13" x14ac:dyDescent="0.3">
      <c r="A162" s="1">
        <v>44742</v>
      </c>
      <c r="B162">
        <f>YEAR(Table1[[#This Row],[Date]])</f>
        <v>2022</v>
      </c>
      <c r="C162" t="s">
        <v>59</v>
      </c>
      <c r="D162" t="s">
        <v>7</v>
      </c>
      <c r="E162" t="s">
        <v>9</v>
      </c>
      <c r="F162">
        <v>3827</v>
      </c>
      <c r="G162">
        <v>166.57537234718441</v>
      </c>
      <c r="H162" t="str">
        <f>VLOOKUP(Table1[[#This Row],[Manager]],Managers!$A$2:$B$9,2,FALSE)</f>
        <v>Chanandler Bong</v>
      </c>
      <c r="I162" t="str">
        <f>VLOOKUP(Table1[[#This Row],[Product]],Products!$A$2:$B$11,2,FALSE)</f>
        <v>Floor Cheesecake</v>
      </c>
      <c r="J162" t="str">
        <f>IF(Table1[[#This Row],[Sales]]&gt;4000,"Exceeded the target",IF(AND(Table1[[#This Row],[Sales]]&lt;=4000,Table1[[#This Row],[Sales]]&lt;2500),"Did not meet the target","met the target"))</f>
        <v>met the target</v>
      </c>
      <c r="K162">
        <f>Table1[[#This Row],[Sales]]-Table1[[#This Row],[Commission]]</f>
        <v>3660.4246276528156</v>
      </c>
      <c r="L162">
        <f>Table1[[#This Row],[Sales]]+Table1[[#This Row],[Commission]]-Table1[[#This Row],[Revenue]]</f>
        <v>333.15074469436877</v>
      </c>
      <c r="M162">
        <f>Table1[[#This Row],[Revenue]]-Table1[[#This Row],[Cost]]</f>
        <v>3327.2738829584468</v>
      </c>
    </row>
    <row r="163" spans="1:13" x14ac:dyDescent="0.3">
      <c r="A163" s="1">
        <v>44742</v>
      </c>
      <c r="B163">
        <f>YEAR(Table1[[#This Row],[Date]])</f>
        <v>2022</v>
      </c>
      <c r="C163" t="s">
        <v>60</v>
      </c>
      <c r="D163" t="s">
        <v>7</v>
      </c>
      <c r="E163" t="s">
        <v>10</v>
      </c>
      <c r="F163">
        <v>1430</v>
      </c>
      <c r="G163">
        <v>97.901812839773712</v>
      </c>
      <c r="H163" t="str">
        <f>VLOOKUP(Table1[[#This Row],[Manager]],Managers!$A$2:$B$9,2,FALSE)</f>
        <v>Chanandler Bong</v>
      </c>
      <c r="I163" t="str">
        <f>VLOOKUP(Table1[[#This Row],[Product]],Products!$A$2:$B$11,2,FALSE)</f>
        <v>Mockolate</v>
      </c>
      <c r="J163" t="str">
        <f>IF(Table1[[#This Row],[Sales]]&gt;4000,"Exceeded the target",IF(AND(Table1[[#This Row],[Sales]]&lt;=4000,Table1[[#This Row],[Sales]]&lt;2500),"Did not meet the target","met the target"))</f>
        <v>Did not meet the target</v>
      </c>
      <c r="K163">
        <f>Table1[[#This Row],[Sales]]-Table1[[#This Row],[Commission]]</f>
        <v>1332.0981871602262</v>
      </c>
      <c r="L163">
        <f>Table1[[#This Row],[Sales]]+Table1[[#This Row],[Commission]]-Table1[[#This Row],[Revenue]]</f>
        <v>195.80362567954762</v>
      </c>
      <c r="M163">
        <f>Table1[[#This Row],[Revenue]]-Table1[[#This Row],[Cost]]</f>
        <v>1136.2945614806786</v>
      </c>
    </row>
    <row r="164" spans="1:13" x14ac:dyDescent="0.3">
      <c r="A164" s="1">
        <v>44773</v>
      </c>
      <c r="B164">
        <f>YEAR(Table1[[#This Row],[Date]])</f>
        <v>2022</v>
      </c>
      <c r="C164" t="s">
        <v>61</v>
      </c>
      <c r="D164" t="s">
        <v>7</v>
      </c>
      <c r="E164" t="s">
        <v>8</v>
      </c>
      <c r="F164">
        <v>4012</v>
      </c>
      <c r="G164">
        <v>277.92398047803317</v>
      </c>
      <c r="H164" t="str">
        <f>VLOOKUP(Table1[[#This Row],[Manager]],Managers!$A$2:$B$9,2,FALSE)</f>
        <v>Chanandler Bong</v>
      </c>
      <c r="I164" t="str">
        <f>VLOOKUP(Table1[[#This Row],[Product]],Products!$A$2:$B$11,2,FALSE)</f>
        <v>Traditional English Trifle</v>
      </c>
      <c r="J164" t="str">
        <f>IF(Table1[[#This Row],[Sales]]&gt;4000,"Exceeded the target",IF(AND(Table1[[#This Row],[Sales]]&lt;=4000,Table1[[#This Row],[Sales]]&lt;2500),"Did not meet the target","met the target"))</f>
        <v>Exceeded the target</v>
      </c>
      <c r="K164">
        <f>Table1[[#This Row],[Sales]]-Table1[[#This Row],[Commission]]</f>
        <v>3734.0760195219668</v>
      </c>
      <c r="L164">
        <f>Table1[[#This Row],[Sales]]+Table1[[#This Row],[Commission]]-Table1[[#This Row],[Revenue]]</f>
        <v>555.8479609560668</v>
      </c>
      <c r="M164">
        <f>Table1[[#This Row],[Revenue]]-Table1[[#This Row],[Cost]]</f>
        <v>3178.2280585659</v>
      </c>
    </row>
    <row r="165" spans="1:13" x14ac:dyDescent="0.3">
      <c r="A165" s="1">
        <v>44773</v>
      </c>
      <c r="B165">
        <f>YEAR(Table1[[#This Row],[Date]])</f>
        <v>2022</v>
      </c>
      <c r="C165" t="s">
        <v>62</v>
      </c>
      <c r="D165" t="s">
        <v>7</v>
      </c>
      <c r="E165" t="s">
        <v>9</v>
      </c>
      <c r="F165">
        <v>2071</v>
      </c>
      <c r="G165">
        <v>101.7581962351926</v>
      </c>
      <c r="H165" t="str">
        <f>VLOOKUP(Table1[[#This Row],[Manager]],Managers!$A$2:$B$9,2,FALSE)</f>
        <v>Chanandler Bong</v>
      </c>
      <c r="I165" t="str">
        <f>VLOOKUP(Table1[[#This Row],[Product]],Products!$A$2:$B$11,2,FALSE)</f>
        <v>Floor Cheesecake</v>
      </c>
      <c r="J165" t="str">
        <f>IF(Table1[[#This Row],[Sales]]&gt;4000,"Exceeded the target",IF(AND(Table1[[#This Row],[Sales]]&lt;=4000,Table1[[#This Row],[Sales]]&lt;2500),"Did not meet the target","met the target"))</f>
        <v>Did not meet the target</v>
      </c>
      <c r="K165">
        <f>Table1[[#This Row],[Sales]]-Table1[[#This Row],[Commission]]</f>
        <v>1969.2418037648074</v>
      </c>
      <c r="L165">
        <f>Table1[[#This Row],[Sales]]+Table1[[#This Row],[Commission]]-Table1[[#This Row],[Revenue]]</f>
        <v>203.51639247038497</v>
      </c>
      <c r="M165">
        <f>Table1[[#This Row],[Revenue]]-Table1[[#This Row],[Cost]]</f>
        <v>1765.7254112944224</v>
      </c>
    </row>
    <row r="166" spans="1:13" x14ac:dyDescent="0.3">
      <c r="A166" s="1">
        <v>44773</v>
      </c>
      <c r="B166">
        <f>YEAR(Table1[[#This Row],[Date]])</f>
        <v>2022</v>
      </c>
      <c r="C166" t="s">
        <v>63</v>
      </c>
      <c r="D166" t="s">
        <v>7</v>
      </c>
      <c r="E166" t="s">
        <v>10</v>
      </c>
      <c r="F166">
        <v>1639</v>
      </c>
      <c r="G166">
        <v>81.778977922092338</v>
      </c>
      <c r="H166" t="str">
        <f>VLOOKUP(Table1[[#This Row],[Manager]],Managers!$A$2:$B$9,2,FALSE)</f>
        <v>Chanandler Bong</v>
      </c>
      <c r="I166" t="str">
        <f>VLOOKUP(Table1[[#This Row],[Product]],Products!$A$2:$B$11,2,FALSE)</f>
        <v>Mockolate</v>
      </c>
      <c r="J166" t="str">
        <f>IF(Table1[[#This Row],[Sales]]&gt;4000,"Exceeded the target",IF(AND(Table1[[#This Row],[Sales]]&lt;=4000,Table1[[#This Row],[Sales]]&lt;2500),"Did not meet the target","met the target"))</f>
        <v>Did not meet the target</v>
      </c>
      <c r="K166">
        <f>Table1[[#This Row],[Sales]]-Table1[[#This Row],[Commission]]</f>
        <v>1557.2210220779077</v>
      </c>
      <c r="L166">
        <f>Table1[[#This Row],[Sales]]+Table1[[#This Row],[Commission]]-Table1[[#This Row],[Revenue]]</f>
        <v>163.55795584418456</v>
      </c>
      <c r="M166">
        <f>Table1[[#This Row],[Revenue]]-Table1[[#This Row],[Cost]]</f>
        <v>1393.6630662337232</v>
      </c>
    </row>
    <row r="167" spans="1:13" x14ac:dyDescent="0.3">
      <c r="A167" s="1">
        <v>44804</v>
      </c>
      <c r="B167">
        <f>YEAR(Table1[[#This Row],[Date]])</f>
        <v>2022</v>
      </c>
      <c r="C167" t="s">
        <v>64</v>
      </c>
      <c r="D167" t="s">
        <v>7</v>
      </c>
      <c r="E167" t="s">
        <v>8</v>
      </c>
      <c r="F167">
        <v>3767</v>
      </c>
      <c r="G167">
        <v>229.64345209103089</v>
      </c>
      <c r="H167" t="str">
        <f>VLOOKUP(Table1[[#This Row],[Manager]],Managers!$A$2:$B$9,2,FALSE)</f>
        <v>Chanandler Bong</v>
      </c>
      <c r="I167" t="str">
        <f>VLOOKUP(Table1[[#This Row],[Product]],Products!$A$2:$B$11,2,FALSE)</f>
        <v>Traditional English Trifle</v>
      </c>
      <c r="J167" t="str">
        <f>IF(Table1[[#This Row],[Sales]]&gt;4000,"Exceeded the target",IF(AND(Table1[[#This Row],[Sales]]&lt;=4000,Table1[[#This Row],[Sales]]&lt;2500),"Did not meet the target","met the target"))</f>
        <v>met the target</v>
      </c>
      <c r="K167">
        <f>Table1[[#This Row],[Sales]]-Table1[[#This Row],[Commission]]</f>
        <v>3537.3565479089693</v>
      </c>
      <c r="L167">
        <f>Table1[[#This Row],[Sales]]+Table1[[#This Row],[Commission]]-Table1[[#This Row],[Revenue]]</f>
        <v>459.28690418206133</v>
      </c>
      <c r="M167">
        <f>Table1[[#This Row],[Revenue]]-Table1[[#This Row],[Cost]]</f>
        <v>3078.069643726908</v>
      </c>
    </row>
    <row r="168" spans="1:13" x14ac:dyDescent="0.3">
      <c r="A168" s="1">
        <v>44804</v>
      </c>
      <c r="B168">
        <f>YEAR(Table1[[#This Row],[Date]])</f>
        <v>2022</v>
      </c>
      <c r="C168" t="s">
        <v>65</v>
      </c>
      <c r="D168" t="s">
        <v>7</v>
      </c>
      <c r="E168" t="s">
        <v>9</v>
      </c>
      <c r="F168">
        <v>3957</v>
      </c>
      <c r="G168">
        <v>171.4402146630934</v>
      </c>
      <c r="H168" t="str">
        <f>VLOOKUP(Table1[[#This Row],[Manager]],Managers!$A$2:$B$9,2,FALSE)</f>
        <v>Chanandler Bong</v>
      </c>
      <c r="I168" t="str">
        <f>VLOOKUP(Table1[[#This Row],[Product]],Products!$A$2:$B$11,2,FALSE)</f>
        <v>Floor Cheesecake</v>
      </c>
      <c r="J168" t="str">
        <f>IF(Table1[[#This Row],[Sales]]&gt;4000,"Exceeded the target",IF(AND(Table1[[#This Row],[Sales]]&lt;=4000,Table1[[#This Row],[Sales]]&lt;2500),"Did not meet the target","met the target"))</f>
        <v>met the target</v>
      </c>
      <c r="K168">
        <f>Table1[[#This Row],[Sales]]-Table1[[#This Row],[Commission]]</f>
        <v>3785.5597853369068</v>
      </c>
      <c r="L168">
        <f>Table1[[#This Row],[Sales]]+Table1[[#This Row],[Commission]]-Table1[[#This Row],[Revenue]]</f>
        <v>342.88042932618691</v>
      </c>
      <c r="M168">
        <f>Table1[[#This Row],[Revenue]]-Table1[[#This Row],[Cost]]</f>
        <v>3442.6793560107199</v>
      </c>
    </row>
    <row r="169" spans="1:13" x14ac:dyDescent="0.3">
      <c r="A169" s="1">
        <v>44804</v>
      </c>
      <c r="B169">
        <f>YEAR(Table1[[#This Row],[Date]])</f>
        <v>2022</v>
      </c>
      <c r="C169" t="s">
        <v>66</v>
      </c>
      <c r="D169" t="s">
        <v>7</v>
      </c>
      <c r="E169" t="s">
        <v>10</v>
      </c>
      <c r="F169">
        <v>1373</v>
      </c>
      <c r="G169">
        <v>45.644088338140783</v>
      </c>
      <c r="H169" t="str">
        <f>VLOOKUP(Table1[[#This Row],[Manager]],Managers!$A$2:$B$9,2,FALSE)</f>
        <v>Chanandler Bong</v>
      </c>
      <c r="I169" t="str">
        <f>VLOOKUP(Table1[[#This Row],[Product]],Products!$A$2:$B$11,2,FALSE)</f>
        <v>Mockolate</v>
      </c>
      <c r="J169" t="str">
        <f>IF(Table1[[#This Row],[Sales]]&gt;4000,"Exceeded the target",IF(AND(Table1[[#This Row],[Sales]]&lt;=4000,Table1[[#This Row],[Sales]]&lt;2500),"Did not meet the target","met the target"))</f>
        <v>Did not meet the target</v>
      </c>
      <c r="K169">
        <f>Table1[[#This Row],[Sales]]-Table1[[#This Row],[Commission]]</f>
        <v>1327.3559116618592</v>
      </c>
      <c r="L169">
        <f>Table1[[#This Row],[Sales]]+Table1[[#This Row],[Commission]]-Table1[[#This Row],[Revenue]]</f>
        <v>91.288176676281637</v>
      </c>
      <c r="M169">
        <f>Table1[[#This Row],[Revenue]]-Table1[[#This Row],[Cost]]</f>
        <v>1236.0677349855775</v>
      </c>
    </row>
    <row r="170" spans="1:13" x14ac:dyDescent="0.3">
      <c r="A170" s="1">
        <v>44834</v>
      </c>
      <c r="B170">
        <f>YEAR(Table1[[#This Row],[Date]])</f>
        <v>2022</v>
      </c>
      <c r="C170" t="s">
        <v>55</v>
      </c>
      <c r="D170" t="s">
        <v>7</v>
      </c>
      <c r="E170" t="s">
        <v>8</v>
      </c>
      <c r="F170">
        <v>4762</v>
      </c>
      <c r="G170">
        <v>222.9643576132251</v>
      </c>
      <c r="H170" t="str">
        <f>VLOOKUP(Table1[[#This Row],[Manager]],Managers!$A$2:$B$9,2,FALSE)</f>
        <v>Chanandler Bong</v>
      </c>
      <c r="I170" t="str">
        <f>VLOOKUP(Table1[[#This Row],[Product]],Products!$A$2:$B$11,2,FALSE)</f>
        <v>Traditional English Trifle</v>
      </c>
      <c r="J170" t="str">
        <f>IF(Table1[[#This Row],[Sales]]&gt;4000,"Exceeded the target",IF(AND(Table1[[#This Row],[Sales]]&lt;=4000,Table1[[#This Row],[Sales]]&lt;2500),"Did not meet the target","met the target"))</f>
        <v>Exceeded the target</v>
      </c>
      <c r="K170">
        <f>Table1[[#This Row],[Sales]]-Table1[[#This Row],[Commission]]</f>
        <v>4539.0356423867752</v>
      </c>
      <c r="L170">
        <f>Table1[[#This Row],[Sales]]+Table1[[#This Row],[Commission]]-Table1[[#This Row],[Revenue]]</f>
        <v>445.92871522644964</v>
      </c>
      <c r="M170">
        <f>Table1[[#This Row],[Revenue]]-Table1[[#This Row],[Cost]]</f>
        <v>4093.1069271603255</v>
      </c>
    </row>
    <row r="171" spans="1:13" x14ac:dyDescent="0.3">
      <c r="A171" s="1">
        <v>44834</v>
      </c>
      <c r="B171">
        <f>YEAR(Table1[[#This Row],[Date]])</f>
        <v>2022</v>
      </c>
      <c r="C171" t="s">
        <v>56</v>
      </c>
      <c r="D171" t="s">
        <v>7</v>
      </c>
      <c r="E171" t="s">
        <v>10</v>
      </c>
      <c r="F171">
        <v>2954</v>
      </c>
      <c r="G171">
        <v>190.3027266996103</v>
      </c>
      <c r="H171" t="str">
        <f>VLOOKUP(Table1[[#This Row],[Manager]],Managers!$A$2:$B$9,2,FALSE)</f>
        <v>Chanandler Bong</v>
      </c>
      <c r="I171" t="str">
        <f>VLOOKUP(Table1[[#This Row],[Product]],Products!$A$2:$B$11,2,FALSE)</f>
        <v>Mockolate</v>
      </c>
      <c r="J171" t="str">
        <f>IF(Table1[[#This Row],[Sales]]&gt;4000,"Exceeded the target",IF(AND(Table1[[#This Row],[Sales]]&lt;=4000,Table1[[#This Row],[Sales]]&lt;2500),"Did not meet the target","met the target"))</f>
        <v>met the target</v>
      </c>
      <c r="K171">
        <f>Table1[[#This Row],[Sales]]-Table1[[#This Row],[Commission]]</f>
        <v>2763.6972733003895</v>
      </c>
      <c r="L171">
        <f>Table1[[#This Row],[Sales]]+Table1[[#This Row],[Commission]]-Table1[[#This Row],[Revenue]]</f>
        <v>380.60545339922101</v>
      </c>
      <c r="M171">
        <f>Table1[[#This Row],[Revenue]]-Table1[[#This Row],[Cost]]</f>
        <v>2383.0918199011685</v>
      </c>
    </row>
    <row r="172" spans="1:13" x14ac:dyDescent="0.3">
      <c r="A172" s="1">
        <v>44834</v>
      </c>
      <c r="B172">
        <f>YEAR(Table1[[#This Row],[Date]])</f>
        <v>2022</v>
      </c>
      <c r="C172" t="s">
        <v>57</v>
      </c>
      <c r="D172" t="s">
        <v>7</v>
      </c>
      <c r="E172" t="s">
        <v>9</v>
      </c>
      <c r="F172">
        <v>2316</v>
      </c>
      <c r="G172">
        <v>121.11464482824771</v>
      </c>
      <c r="H172" t="str">
        <f>VLOOKUP(Table1[[#This Row],[Manager]],Managers!$A$2:$B$9,2,FALSE)</f>
        <v>Chanandler Bong</v>
      </c>
      <c r="I172" t="str">
        <f>VLOOKUP(Table1[[#This Row],[Product]],Products!$A$2:$B$11,2,FALSE)</f>
        <v>Floor Cheesecake</v>
      </c>
      <c r="J172" t="str">
        <f>IF(Table1[[#This Row],[Sales]]&gt;4000,"Exceeded the target",IF(AND(Table1[[#This Row],[Sales]]&lt;=4000,Table1[[#This Row],[Sales]]&lt;2500),"Did not meet the target","met the target"))</f>
        <v>Did not meet the target</v>
      </c>
      <c r="K172">
        <f>Table1[[#This Row],[Sales]]-Table1[[#This Row],[Commission]]</f>
        <v>2194.8853551717525</v>
      </c>
      <c r="L172">
        <f>Table1[[#This Row],[Sales]]+Table1[[#This Row],[Commission]]-Table1[[#This Row],[Revenue]]</f>
        <v>242.22928965649498</v>
      </c>
      <c r="M172">
        <f>Table1[[#This Row],[Revenue]]-Table1[[#This Row],[Cost]]</f>
        <v>1952.6560655152575</v>
      </c>
    </row>
    <row r="173" spans="1:13" x14ac:dyDescent="0.3">
      <c r="A173" s="1">
        <v>44865</v>
      </c>
      <c r="B173">
        <f>YEAR(Table1[[#This Row],[Date]])</f>
        <v>2022</v>
      </c>
      <c r="C173" t="s">
        <v>58</v>
      </c>
      <c r="D173" t="s">
        <v>7</v>
      </c>
      <c r="E173" t="s">
        <v>8</v>
      </c>
      <c r="F173">
        <v>2930</v>
      </c>
      <c r="G173">
        <v>180.31753404232401</v>
      </c>
      <c r="H173" t="str">
        <f>VLOOKUP(Table1[[#This Row],[Manager]],Managers!$A$2:$B$9,2,FALSE)</f>
        <v>Chanandler Bong</v>
      </c>
      <c r="I173" t="str">
        <f>VLOOKUP(Table1[[#This Row],[Product]],Products!$A$2:$B$11,2,FALSE)</f>
        <v>Traditional English Trifle</v>
      </c>
      <c r="J173" t="str">
        <f>IF(Table1[[#This Row],[Sales]]&gt;4000,"Exceeded the target",IF(AND(Table1[[#This Row],[Sales]]&lt;=4000,Table1[[#This Row],[Sales]]&lt;2500),"Did not meet the target","met the target"))</f>
        <v>met the target</v>
      </c>
      <c r="K173">
        <f>Table1[[#This Row],[Sales]]-Table1[[#This Row],[Commission]]</f>
        <v>2749.682465957676</v>
      </c>
      <c r="L173">
        <f>Table1[[#This Row],[Sales]]+Table1[[#This Row],[Commission]]-Table1[[#This Row],[Revenue]]</f>
        <v>360.63506808464808</v>
      </c>
      <c r="M173">
        <f>Table1[[#This Row],[Revenue]]-Table1[[#This Row],[Cost]]</f>
        <v>2389.0473978730279</v>
      </c>
    </row>
    <row r="174" spans="1:13" x14ac:dyDescent="0.3">
      <c r="A174" s="1">
        <v>44865</v>
      </c>
      <c r="B174">
        <f>YEAR(Table1[[#This Row],[Date]])</f>
        <v>2022</v>
      </c>
      <c r="C174" t="s">
        <v>59</v>
      </c>
      <c r="D174" t="s">
        <v>7</v>
      </c>
      <c r="E174" t="s">
        <v>9</v>
      </c>
      <c r="F174">
        <v>3418</v>
      </c>
      <c r="G174">
        <v>110.3122690099526</v>
      </c>
      <c r="H174" t="str">
        <f>VLOOKUP(Table1[[#This Row],[Manager]],Managers!$A$2:$B$9,2,FALSE)</f>
        <v>Chanandler Bong</v>
      </c>
      <c r="I174" t="str">
        <f>VLOOKUP(Table1[[#This Row],[Product]],Products!$A$2:$B$11,2,FALSE)</f>
        <v>Floor Cheesecake</v>
      </c>
      <c r="J174" t="str">
        <f>IF(Table1[[#This Row],[Sales]]&gt;4000,"Exceeded the target",IF(AND(Table1[[#This Row],[Sales]]&lt;=4000,Table1[[#This Row],[Sales]]&lt;2500),"Did not meet the target","met the target"))</f>
        <v>met the target</v>
      </c>
      <c r="K174">
        <f>Table1[[#This Row],[Sales]]-Table1[[#This Row],[Commission]]</f>
        <v>3307.6877309900474</v>
      </c>
      <c r="L174">
        <f>Table1[[#This Row],[Sales]]+Table1[[#This Row],[Commission]]-Table1[[#This Row],[Revenue]]</f>
        <v>220.62453801990523</v>
      </c>
      <c r="M174">
        <f>Table1[[#This Row],[Revenue]]-Table1[[#This Row],[Cost]]</f>
        <v>3087.0631929701422</v>
      </c>
    </row>
    <row r="175" spans="1:13" x14ac:dyDescent="0.3">
      <c r="A175" s="1">
        <v>44865</v>
      </c>
      <c r="B175">
        <f>YEAR(Table1[[#This Row],[Date]])</f>
        <v>2022</v>
      </c>
      <c r="C175" t="s">
        <v>60</v>
      </c>
      <c r="D175" t="s">
        <v>7</v>
      </c>
      <c r="E175" t="s">
        <v>10</v>
      </c>
      <c r="F175">
        <v>1555</v>
      </c>
      <c r="G175">
        <v>90.003228435294204</v>
      </c>
      <c r="H175" t="str">
        <f>VLOOKUP(Table1[[#This Row],[Manager]],Managers!$A$2:$B$9,2,FALSE)</f>
        <v>Chanandler Bong</v>
      </c>
      <c r="I175" t="str">
        <f>VLOOKUP(Table1[[#This Row],[Product]],Products!$A$2:$B$11,2,FALSE)</f>
        <v>Mockolate</v>
      </c>
      <c r="J175" t="str">
        <f>IF(Table1[[#This Row],[Sales]]&gt;4000,"Exceeded the target",IF(AND(Table1[[#This Row],[Sales]]&lt;=4000,Table1[[#This Row],[Sales]]&lt;2500),"Did not meet the target","met the target"))</f>
        <v>Did not meet the target</v>
      </c>
      <c r="K175">
        <f>Table1[[#This Row],[Sales]]-Table1[[#This Row],[Commission]]</f>
        <v>1464.9967715647058</v>
      </c>
      <c r="L175">
        <f>Table1[[#This Row],[Sales]]+Table1[[#This Row],[Commission]]-Table1[[#This Row],[Revenue]]</f>
        <v>180.00645687058841</v>
      </c>
      <c r="M175">
        <f>Table1[[#This Row],[Revenue]]-Table1[[#This Row],[Cost]]</f>
        <v>1284.9903146941174</v>
      </c>
    </row>
    <row r="176" spans="1:13" x14ac:dyDescent="0.3">
      <c r="A176" s="1">
        <v>44895</v>
      </c>
      <c r="B176">
        <f>YEAR(Table1[[#This Row],[Date]])</f>
        <v>2022</v>
      </c>
      <c r="C176" t="s">
        <v>61</v>
      </c>
      <c r="D176" t="s">
        <v>7</v>
      </c>
      <c r="E176" t="s">
        <v>10</v>
      </c>
      <c r="F176">
        <v>3787</v>
      </c>
      <c r="G176">
        <v>201.09620588897681</v>
      </c>
      <c r="H176" t="str">
        <f>VLOOKUP(Table1[[#This Row],[Manager]],Managers!$A$2:$B$9,2,FALSE)</f>
        <v>Chanandler Bong</v>
      </c>
      <c r="I176" t="str">
        <f>VLOOKUP(Table1[[#This Row],[Product]],Products!$A$2:$B$11,2,FALSE)</f>
        <v>Mockolate</v>
      </c>
      <c r="J176" t="str">
        <f>IF(Table1[[#This Row],[Sales]]&gt;4000,"Exceeded the target",IF(AND(Table1[[#This Row],[Sales]]&lt;=4000,Table1[[#This Row],[Sales]]&lt;2500),"Did not meet the target","met the target"))</f>
        <v>met the target</v>
      </c>
      <c r="K176">
        <f>Table1[[#This Row],[Sales]]-Table1[[#This Row],[Commission]]</f>
        <v>3585.9037941110232</v>
      </c>
      <c r="L176">
        <f>Table1[[#This Row],[Sales]]+Table1[[#This Row],[Commission]]-Table1[[#This Row],[Revenue]]</f>
        <v>402.19241177795357</v>
      </c>
      <c r="M176">
        <f>Table1[[#This Row],[Revenue]]-Table1[[#This Row],[Cost]]</f>
        <v>3183.7113823330697</v>
      </c>
    </row>
    <row r="177" spans="1:13" x14ac:dyDescent="0.3">
      <c r="A177" s="1">
        <v>44895</v>
      </c>
      <c r="B177">
        <f>YEAR(Table1[[#This Row],[Date]])</f>
        <v>2022</v>
      </c>
      <c r="C177" t="s">
        <v>62</v>
      </c>
      <c r="D177" t="s">
        <v>7</v>
      </c>
      <c r="E177" t="s">
        <v>8</v>
      </c>
      <c r="F177">
        <v>3642</v>
      </c>
      <c r="G177">
        <v>184.84390448177669</v>
      </c>
      <c r="H177" t="str">
        <f>VLOOKUP(Table1[[#This Row],[Manager]],Managers!$A$2:$B$9,2,FALSE)</f>
        <v>Chanandler Bong</v>
      </c>
      <c r="I177" t="str">
        <f>VLOOKUP(Table1[[#This Row],[Product]],Products!$A$2:$B$11,2,FALSE)</f>
        <v>Traditional English Trifle</v>
      </c>
      <c r="J177" t="str">
        <f>IF(Table1[[#This Row],[Sales]]&gt;4000,"Exceeded the target",IF(AND(Table1[[#This Row],[Sales]]&lt;=4000,Table1[[#This Row],[Sales]]&lt;2500),"Did not meet the target","met the target"))</f>
        <v>met the target</v>
      </c>
      <c r="K177">
        <f>Table1[[#This Row],[Sales]]-Table1[[#This Row],[Commission]]</f>
        <v>3457.1560955182231</v>
      </c>
      <c r="L177">
        <f>Table1[[#This Row],[Sales]]+Table1[[#This Row],[Commission]]-Table1[[#This Row],[Revenue]]</f>
        <v>369.68780896355383</v>
      </c>
      <c r="M177">
        <f>Table1[[#This Row],[Revenue]]-Table1[[#This Row],[Cost]]</f>
        <v>3087.4682865546692</v>
      </c>
    </row>
    <row r="178" spans="1:13" x14ac:dyDescent="0.3">
      <c r="A178" s="1">
        <v>44895</v>
      </c>
      <c r="B178">
        <f>YEAR(Table1[[#This Row],[Date]])</f>
        <v>2022</v>
      </c>
      <c r="C178" t="s">
        <v>63</v>
      </c>
      <c r="D178" t="s">
        <v>7</v>
      </c>
      <c r="E178" t="s">
        <v>9</v>
      </c>
      <c r="F178">
        <v>2966</v>
      </c>
      <c r="G178">
        <v>125.3799502100421</v>
      </c>
      <c r="H178" t="str">
        <f>VLOOKUP(Table1[[#This Row],[Manager]],Managers!$A$2:$B$9,2,FALSE)</f>
        <v>Chanandler Bong</v>
      </c>
      <c r="I178" t="str">
        <f>VLOOKUP(Table1[[#This Row],[Product]],Products!$A$2:$B$11,2,FALSE)</f>
        <v>Floor Cheesecake</v>
      </c>
      <c r="J178" t="str">
        <f>IF(Table1[[#This Row],[Sales]]&gt;4000,"Exceeded the target",IF(AND(Table1[[#This Row],[Sales]]&lt;=4000,Table1[[#This Row],[Sales]]&lt;2500),"Did not meet the target","met the target"))</f>
        <v>met the target</v>
      </c>
      <c r="K178">
        <f>Table1[[#This Row],[Sales]]-Table1[[#This Row],[Commission]]</f>
        <v>2840.6200497899581</v>
      </c>
      <c r="L178">
        <f>Table1[[#This Row],[Sales]]+Table1[[#This Row],[Commission]]-Table1[[#This Row],[Revenue]]</f>
        <v>250.7599004200838</v>
      </c>
      <c r="M178">
        <f>Table1[[#This Row],[Revenue]]-Table1[[#This Row],[Cost]]</f>
        <v>2589.8601493698743</v>
      </c>
    </row>
    <row r="179" spans="1:13" x14ac:dyDescent="0.3">
      <c r="A179" s="1">
        <v>44926</v>
      </c>
      <c r="B179">
        <f>YEAR(Table1[[#This Row],[Date]])</f>
        <v>2022</v>
      </c>
      <c r="C179" t="s">
        <v>64</v>
      </c>
      <c r="D179" t="s">
        <v>7</v>
      </c>
      <c r="E179" t="s">
        <v>10</v>
      </c>
      <c r="F179">
        <v>3818</v>
      </c>
      <c r="G179">
        <v>184.31951231374131</v>
      </c>
      <c r="H179" t="str">
        <f>VLOOKUP(Table1[[#This Row],[Manager]],Managers!$A$2:$B$9,2,FALSE)</f>
        <v>Chanandler Bong</v>
      </c>
      <c r="I179" t="str">
        <f>VLOOKUP(Table1[[#This Row],[Product]],Products!$A$2:$B$11,2,FALSE)</f>
        <v>Mockolate</v>
      </c>
      <c r="J179" t="str">
        <f>IF(Table1[[#This Row],[Sales]]&gt;4000,"Exceeded the target",IF(AND(Table1[[#This Row],[Sales]]&lt;=4000,Table1[[#This Row],[Sales]]&lt;2500),"Did not meet the target","met the target"))</f>
        <v>met the target</v>
      </c>
      <c r="K179">
        <f>Table1[[#This Row],[Sales]]-Table1[[#This Row],[Commission]]</f>
        <v>3633.6804876862589</v>
      </c>
      <c r="L179">
        <f>Table1[[#This Row],[Sales]]+Table1[[#This Row],[Commission]]-Table1[[#This Row],[Revenue]]</f>
        <v>368.63902462748229</v>
      </c>
      <c r="M179">
        <f>Table1[[#This Row],[Revenue]]-Table1[[#This Row],[Cost]]</f>
        <v>3265.0414630587766</v>
      </c>
    </row>
    <row r="180" spans="1:13" x14ac:dyDescent="0.3">
      <c r="A180" s="1">
        <v>44926</v>
      </c>
      <c r="B180">
        <f>YEAR(Table1[[#This Row],[Date]])</f>
        <v>2022</v>
      </c>
      <c r="C180" t="s">
        <v>65</v>
      </c>
      <c r="D180" t="s">
        <v>7</v>
      </c>
      <c r="E180" t="s">
        <v>9</v>
      </c>
      <c r="F180">
        <v>3059</v>
      </c>
      <c r="G180">
        <v>158.3100960514617</v>
      </c>
      <c r="H180" t="str">
        <f>VLOOKUP(Table1[[#This Row],[Manager]],Managers!$A$2:$B$9,2,FALSE)</f>
        <v>Chanandler Bong</v>
      </c>
      <c r="I180" t="str">
        <f>VLOOKUP(Table1[[#This Row],[Product]],Products!$A$2:$B$11,2,FALSE)</f>
        <v>Floor Cheesecake</v>
      </c>
      <c r="J180" t="str">
        <f>IF(Table1[[#This Row],[Sales]]&gt;4000,"Exceeded the target",IF(AND(Table1[[#This Row],[Sales]]&lt;=4000,Table1[[#This Row],[Sales]]&lt;2500),"Did not meet the target","met the target"))</f>
        <v>met the target</v>
      </c>
      <c r="K180">
        <f>Table1[[#This Row],[Sales]]-Table1[[#This Row],[Commission]]</f>
        <v>2900.6899039485384</v>
      </c>
      <c r="L180">
        <f>Table1[[#This Row],[Sales]]+Table1[[#This Row],[Commission]]-Table1[[#This Row],[Revenue]]</f>
        <v>316.62019210292328</v>
      </c>
      <c r="M180">
        <f>Table1[[#This Row],[Revenue]]-Table1[[#This Row],[Cost]]</f>
        <v>2584.0697118456151</v>
      </c>
    </row>
    <row r="181" spans="1:13" x14ac:dyDescent="0.3">
      <c r="A181" s="1">
        <v>44926</v>
      </c>
      <c r="B181">
        <f>YEAR(Table1[[#This Row],[Date]])</f>
        <v>2022</v>
      </c>
      <c r="C181" t="s">
        <v>66</v>
      </c>
      <c r="D181" t="s">
        <v>7</v>
      </c>
      <c r="E181" t="s">
        <v>8</v>
      </c>
      <c r="F181">
        <v>1872</v>
      </c>
      <c r="G181">
        <v>123.8503185450264</v>
      </c>
      <c r="H181" t="str">
        <f>VLOOKUP(Table1[[#This Row],[Manager]],Managers!$A$2:$B$9,2,FALSE)</f>
        <v>Chanandler Bong</v>
      </c>
      <c r="I181" t="str">
        <f>VLOOKUP(Table1[[#This Row],[Product]],Products!$A$2:$B$11,2,FALSE)</f>
        <v>Traditional English Trifle</v>
      </c>
      <c r="J181" t="str">
        <f>IF(Table1[[#This Row],[Sales]]&gt;4000,"Exceeded the target",IF(AND(Table1[[#This Row],[Sales]]&lt;=4000,Table1[[#This Row],[Sales]]&lt;2500),"Did not meet the target","met the target"))</f>
        <v>Did not meet the target</v>
      </c>
      <c r="K181">
        <f>Table1[[#This Row],[Sales]]-Table1[[#This Row],[Commission]]</f>
        <v>1748.1496814549737</v>
      </c>
      <c r="L181">
        <f>Table1[[#This Row],[Sales]]+Table1[[#This Row],[Commission]]-Table1[[#This Row],[Revenue]]</f>
        <v>247.70063709005262</v>
      </c>
      <c r="M181">
        <f>Table1[[#This Row],[Revenue]]-Table1[[#This Row],[Cost]]</f>
        <v>1500.4490443649211</v>
      </c>
    </row>
    <row r="182" spans="1:13" x14ac:dyDescent="0.3">
      <c r="A182" s="1">
        <v>44957</v>
      </c>
      <c r="B182">
        <f>YEAR(Table1[[#This Row],[Date]])</f>
        <v>2023</v>
      </c>
      <c r="C182" t="s">
        <v>55</v>
      </c>
      <c r="D182" t="s">
        <v>3</v>
      </c>
      <c r="E182" t="s">
        <v>10</v>
      </c>
      <c r="F182">
        <v>3080</v>
      </c>
      <c r="G182">
        <v>181.61745283054211</v>
      </c>
      <c r="H182" t="str">
        <f>VLOOKUP(Table1[[#This Row],[Manager]],Managers!$A$2:$B$9,2,FALSE)</f>
        <v>Russ Geller</v>
      </c>
      <c r="I182" t="str">
        <f>VLOOKUP(Table1[[#This Row],[Product]],Products!$A$2:$B$11,2,FALSE)</f>
        <v>Mockolate</v>
      </c>
      <c r="J182" t="str">
        <f>IF(Table1[[#This Row],[Sales]]&gt;4000,"Exceeded the target",IF(AND(Table1[[#This Row],[Sales]]&lt;=4000,Table1[[#This Row],[Sales]]&lt;2500),"Did not meet the target","met the target"))</f>
        <v>met the target</v>
      </c>
      <c r="K182">
        <f>Table1[[#This Row],[Sales]]-Table1[[#This Row],[Commission]]</f>
        <v>2898.3825471694581</v>
      </c>
      <c r="L182">
        <f>Table1[[#This Row],[Sales]]+Table1[[#This Row],[Commission]]-Table1[[#This Row],[Revenue]]</f>
        <v>363.23490566108376</v>
      </c>
      <c r="M182">
        <f>Table1[[#This Row],[Revenue]]-Table1[[#This Row],[Cost]]</f>
        <v>2535.1476415083744</v>
      </c>
    </row>
    <row r="183" spans="1:13" x14ac:dyDescent="0.3">
      <c r="A183" s="1">
        <v>44957</v>
      </c>
      <c r="B183">
        <f>YEAR(Table1[[#This Row],[Date]])</f>
        <v>2023</v>
      </c>
      <c r="C183" t="s">
        <v>56</v>
      </c>
      <c r="D183" t="s">
        <v>3</v>
      </c>
      <c r="E183" t="s">
        <v>9</v>
      </c>
      <c r="F183">
        <v>2104</v>
      </c>
      <c r="G183">
        <v>101.71610942244421</v>
      </c>
      <c r="H183" t="str">
        <f>VLOOKUP(Table1[[#This Row],[Manager]],Managers!$A$2:$B$9,2,FALSE)</f>
        <v>Russ Geller</v>
      </c>
      <c r="I183" t="str">
        <f>VLOOKUP(Table1[[#This Row],[Product]],Products!$A$2:$B$11,2,FALSE)</f>
        <v>Floor Cheesecake</v>
      </c>
      <c r="J183" t="str">
        <f>IF(Table1[[#This Row],[Sales]]&gt;4000,"Exceeded the target",IF(AND(Table1[[#This Row],[Sales]]&lt;=4000,Table1[[#This Row],[Sales]]&lt;2500),"Did not meet the target","met the target"))</f>
        <v>Did not meet the target</v>
      </c>
      <c r="K183">
        <f>Table1[[#This Row],[Sales]]-Table1[[#This Row],[Commission]]</f>
        <v>2002.2838905775559</v>
      </c>
      <c r="L183">
        <f>Table1[[#This Row],[Sales]]+Table1[[#This Row],[Commission]]-Table1[[#This Row],[Revenue]]</f>
        <v>203.43221884488844</v>
      </c>
      <c r="M183">
        <f>Table1[[#This Row],[Revenue]]-Table1[[#This Row],[Cost]]</f>
        <v>1798.8516717326675</v>
      </c>
    </row>
    <row r="184" spans="1:13" x14ac:dyDescent="0.3">
      <c r="A184" s="1">
        <v>44957</v>
      </c>
      <c r="B184">
        <f>YEAR(Table1[[#This Row],[Date]])</f>
        <v>2023</v>
      </c>
      <c r="C184" t="s">
        <v>57</v>
      </c>
      <c r="D184" t="s">
        <v>3</v>
      </c>
      <c r="E184" t="s">
        <v>8</v>
      </c>
      <c r="F184">
        <v>1307</v>
      </c>
      <c r="G184">
        <v>85.323124926818636</v>
      </c>
      <c r="H184" t="str">
        <f>VLOOKUP(Table1[[#This Row],[Manager]],Managers!$A$2:$B$9,2,FALSE)</f>
        <v>Russ Geller</v>
      </c>
      <c r="I184" t="str">
        <f>VLOOKUP(Table1[[#This Row],[Product]],Products!$A$2:$B$11,2,FALSE)</f>
        <v>Traditional English Trifle</v>
      </c>
      <c r="J184" t="str">
        <f>IF(Table1[[#This Row],[Sales]]&gt;4000,"Exceeded the target",IF(AND(Table1[[#This Row],[Sales]]&lt;=4000,Table1[[#This Row],[Sales]]&lt;2500),"Did not meet the target","met the target"))</f>
        <v>Did not meet the target</v>
      </c>
      <c r="K184">
        <f>Table1[[#This Row],[Sales]]-Table1[[#This Row],[Commission]]</f>
        <v>1221.6768750731815</v>
      </c>
      <c r="L184">
        <f>Table1[[#This Row],[Sales]]+Table1[[#This Row],[Commission]]-Table1[[#This Row],[Revenue]]</f>
        <v>170.64624985363707</v>
      </c>
      <c r="M184">
        <f>Table1[[#This Row],[Revenue]]-Table1[[#This Row],[Cost]]</f>
        <v>1051.0306252195444</v>
      </c>
    </row>
    <row r="185" spans="1:13" x14ac:dyDescent="0.3">
      <c r="A185" s="1">
        <v>44985</v>
      </c>
      <c r="B185">
        <f>YEAR(Table1[[#This Row],[Date]])</f>
        <v>2023</v>
      </c>
      <c r="C185" t="s">
        <v>58</v>
      </c>
      <c r="D185" t="s">
        <v>3</v>
      </c>
      <c r="E185" t="s">
        <v>8</v>
      </c>
      <c r="F185">
        <v>2304</v>
      </c>
      <c r="G185">
        <v>123.58510067623079</v>
      </c>
      <c r="H185" t="str">
        <f>VLOOKUP(Table1[[#This Row],[Manager]],Managers!$A$2:$B$9,2,FALSE)</f>
        <v>Russ Geller</v>
      </c>
      <c r="I185" t="str">
        <f>VLOOKUP(Table1[[#This Row],[Product]],Products!$A$2:$B$11,2,FALSE)</f>
        <v>Traditional English Trifle</v>
      </c>
      <c r="J185" t="str">
        <f>IF(Table1[[#This Row],[Sales]]&gt;4000,"Exceeded the target",IF(AND(Table1[[#This Row],[Sales]]&lt;=4000,Table1[[#This Row],[Sales]]&lt;2500),"Did not meet the target","met the target"))</f>
        <v>Did not meet the target</v>
      </c>
      <c r="K185">
        <f>Table1[[#This Row],[Sales]]-Table1[[#This Row],[Commission]]</f>
        <v>2180.4148993237691</v>
      </c>
      <c r="L185">
        <f>Table1[[#This Row],[Sales]]+Table1[[#This Row],[Commission]]-Table1[[#This Row],[Revenue]]</f>
        <v>247.17020135246185</v>
      </c>
      <c r="M185">
        <f>Table1[[#This Row],[Revenue]]-Table1[[#This Row],[Cost]]</f>
        <v>1933.2446979713072</v>
      </c>
    </row>
    <row r="186" spans="1:13" x14ac:dyDescent="0.3">
      <c r="A186" s="1">
        <v>44985</v>
      </c>
      <c r="B186">
        <f>YEAR(Table1[[#This Row],[Date]])</f>
        <v>2023</v>
      </c>
      <c r="C186" t="s">
        <v>59</v>
      </c>
      <c r="D186" t="s">
        <v>3</v>
      </c>
      <c r="E186" t="s">
        <v>9</v>
      </c>
      <c r="F186">
        <v>1637</v>
      </c>
      <c r="G186">
        <v>105.273678741794</v>
      </c>
      <c r="H186" t="str">
        <f>VLOOKUP(Table1[[#This Row],[Manager]],Managers!$A$2:$B$9,2,FALSE)</f>
        <v>Russ Geller</v>
      </c>
      <c r="I186" t="str">
        <f>VLOOKUP(Table1[[#This Row],[Product]],Products!$A$2:$B$11,2,FALSE)</f>
        <v>Floor Cheesecake</v>
      </c>
      <c r="J186" t="str">
        <f>IF(Table1[[#This Row],[Sales]]&gt;4000,"Exceeded the target",IF(AND(Table1[[#This Row],[Sales]]&lt;=4000,Table1[[#This Row],[Sales]]&lt;2500),"Did not meet the target","met the target"))</f>
        <v>Did not meet the target</v>
      </c>
      <c r="K186">
        <f>Table1[[#This Row],[Sales]]-Table1[[#This Row],[Commission]]</f>
        <v>1531.7263212582061</v>
      </c>
      <c r="L186">
        <f>Table1[[#This Row],[Sales]]+Table1[[#This Row],[Commission]]-Table1[[#This Row],[Revenue]]</f>
        <v>210.5473574835878</v>
      </c>
      <c r="M186">
        <f>Table1[[#This Row],[Revenue]]-Table1[[#This Row],[Cost]]</f>
        <v>1321.1789637746183</v>
      </c>
    </row>
    <row r="187" spans="1:13" x14ac:dyDescent="0.3">
      <c r="A187" s="1">
        <v>44985</v>
      </c>
      <c r="B187">
        <f>YEAR(Table1[[#This Row],[Date]])</f>
        <v>2023</v>
      </c>
      <c r="C187" t="s">
        <v>60</v>
      </c>
      <c r="D187" t="s">
        <v>3</v>
      </c>
      <c r="E187" t="s">
        <v>10</v>
      </c>
      <c r="F187">
        <v>1770</v>
      </c>
      <c r="G187">
        <v>85.471420497453082</v>
      </c>
      <c r="H187" t="str">
        <f>VLOOKUP(Table1[[#This Row],[Manager]],Managers!$A$2:$B$9,2,FALSE)</f>
        <v>Russ Geller</v>
      </c>
      <c r="I187" t="str">
        <f>VLOOKUP(Table1[[#This Row],[Product]],Products!$A$2:$B$11,2,FALSE)</f>
        <v>Mockolate</v>
      </c>
      <c r="J187" t="str">
        <f>IF(Table1[[#This Row],[Sales]]&gt;4000,"Exceeded the target",IF(AND(Table1[[#This Row],[Sales]]&lt;=4000,Table1[[#This Row],[Sales]]&lt;2500),"Did not meet the target","met the target"))</f>
        <v>Did not meet the target</v>
      </c>
      <c r="K187">
        <f>Table1[[#This Row],[Sales]]-Table1[[#This Row],[Commission]]</f>
        <v>1684.528579502547</v>
      </c>
      <c r="L187">
        <f>Table1[[#This Row],[Sales]]+Table1[[#This Row],[Commission]]-Table1[[#This Row],[Revenue]]</f>
        <v>170.94284099490596</v>
      </c>
      <c r="M187">
        <f>Table1[[#This Row],[Revenue]]-Table1[[#This Row],[Cost]]</f>
        <v>1513.5857385076411</v>
      </c>
    </row>
    <row r="188" spans="1:13" x14ac:dyDescent="0.3">
      <c r="A188" s="1">
        <v>45016</v>
      </c>
      <c r="B188">
        <f>YEAR(Table1[[#This Row],[Date]])</f>
        <v>2023</v>
      </c>
      <c r="C188" t="s">
        <v>61</v>
      </c>
      <c r="D188" t="s">
        <v>3</v>
      </c>
      <c r="E188" t="s">
        <v>9</v>
      </c>
      <c r="F188">
        <v>2272</v>
      </c>
      <c r="G188">
        <v>155.31234976295249</v>
      </c>
      <c r="H188" t="str">
        <f>VLOOKUP(Table1[[#This Row],[Manager]],Managers!$A$2:$B$9,2,FALSE)</f>
        <v>Russ Geller</v>
      </c>
      <c r="I188" t="str">
        <f>VLOOKUP(Table1[[#This Row],[Product]],Products!$A$2:$B$11,2,FALSE)</f>
        <v>Floor Cheesecake</v>
      </c>
      <c r="J188" t="str">
        <f>IF(Table1[[#This Row],[Sales]]&gt;4000,"Exceeded the target",IF(AND(Table1[[#This Row],[Sales]]&lt;=4000,Table1[[#This Row],[Sales]]&lt;2500),"Did not meet the target","met the target"))</f>
        <v>Did not meet the target</v>
      </c>
      <c r="K188">
        <f>Table1[[#This Row],[Sales]]-Table1[[#This Row],[Commission]]</f>
        <v>2116.6876502370474</v>
      </c>
      <c r="L188">
        <f>Table1[[#This Row],[Sales]]+Table1[[#This Row],[Commission]]-Table1[[#This Row],[Revenue]]</f>
        <v>310.62469952590527</v>
      </c>
      <c r="M188">
        <f>Table1[[#This Row],[Revenue]]-Table1[[#This Row],[Cost]]</f>
        <v>1806.0629507111421</v>
      </c>
    </row>
    <row r="189" spans="1:13" x14ac:dyDescent="0.3">
      <c r="A189" s="1">
        <v>45016</v>
      </c>
      <c r="B189">
        <f>YEAR(Table1[[#This Row],[Date]])</f>
        <v>2023</v>
      </c>
      <c r="C189" t="s">
        <v>62</v>
      </c>
      <c r="D189" t="s">
        <v>3</v>
      </c>
      <c r="E189" t="s">
        <v>8</v>
      </c>
      <c r="F189">
        <v>3498</v>
      </c>
      <c r="G189">
        <v>109.59998334641369</v>
      </c>
      <c r="H189" t="str">
        <f>VLOOKUP(Table1[[#This Row],[Manager]],Managers!$A$2:$B$9,2,FALSE)</f>
        <v>Russ Geller</v>
      </c>
      <c r="I189" t="str">
        <f>VLOOKUP(Table1[[#This Row],[Product]],Products!$A$2:$B$11,2,FALSE)</f>
        <v>Traditional English Trifle</v>
      </c>
      <c r="J189" t="str">
        <f>IF(Table1[[#This Row],[Sales]]&gt;4000,"Exceeded the target",IF(AND(Table1[[#This Row],[Sales]]&lt;=4000,Table1[[#This Row],[Sales]]&lt;2500),"Did not meet the target","met the target"))</f>
        <v>met the target</v>
      </c>
      <c r="K189">
        <f>Table1[[#This Row],[Sales]]-Table1[[#This Row],[Commission]]</f>
        <v>3388.4000166535861</v>
      </c>
      <c r="L189">
        <f>Table1[[#This Row],[Sales]]+Table1[[#This Row],[Commission]]-Table1[[#This Row],[Revenue]]</f>
        <v>219.19996669282773</v>
      </c>
      <c r="M189">
        <f>Table1[[#This Row],[Revenue]]-Table1[[#This Row],[Cost]]</f>
        <v>3169.2000499607584</v>
      </c>
    </row>
    <row r="190" spans="1:13" x14ac:dyDescent="0.3">
      <c r="A190" s="1">
        <v>45016</v>
      </c>
      <c r="B190">
        <f>YEAR(Table1[[#This Row],[Date]])</f>
        <v>2023</v>
      </c>
      <c r="C190" t="s">
        <v>63</v>
      </c>
      <c r="D190" t="s">
        <v>3</v>
      </c>
      <c r="E190" t="s">
        <v>10</v>
      </c>
      <c r="F190">
        <v>1180</v>
      </c>
      <c r="G190">
        <v>52.173409647875083</v>
      </c>
      <c r="H190" t="str">
        <f>VLOOKUP(Table1[[#This Row],[Manager]],Managers!$A$2:$B$9,2,FALSE)</f>
        <v>Russ Geller</v>
      </c>
      <c r="I190" t="str">
        <f>VLOOKUP(Table1[[#This Row],[Product]],Products!$A$2:$B$11,2,FALSE)</f>
        <v>Mockolate</v>
      </c>
      <c r="J190" t="str">
        <f>IF(Table1[[#This Row],[Sales]]&gt;4000,"Exceeded the target",IF(AND(Table1[[#This Row],[Sales]]&lt;=4000,Table1[[#This Row],[Sales]]&lt;2500),"Did not meet the target","met the target"))</f>
        <v>Did not meet the target</v>
      </c>
      <c r="K190">
        <f>Table1[[#This Row],[Sales]]-Table1[[#This Row],[Commission]]</f>
        <v>1127.8265903521249</v>
      </c>
      <c r="L190">
        <f>Table1[[#This Row],[Sales]]+Table1[[#This Row],[Commission]]-Table1[[#This Row],[Revenue]]</f>
        <v>104.34681929575027</v>
      </c>
      <c r="M190">
        <f>Table1[[#This Row],[Revenue]]-Table1[[#This Row],[Cost]]</f>
        <v>1023.4797710563746</v>
      </c>
    </row>
    <row r="191" spans="1:13" x14ac:dyDescent="0.3">
      <c r="A191" s="1">
        <v>45046</v>
      </c>
      <c r="B191">
        <f>YEAR(Table1[[#This Row],[Date]])</f>
        <v>2023</v>
      </c>
      <c r="C191" t="s">
        <v>64</v>
      </c>
      <c r="D191" t="s">
        <v>3</v>
      </c>
      <c r="E191" t="s">
        <v>10</v>
      </c>
      <c r="F191">
        <v>3744</v>
      </c>
      <c r="G191">
        <v>176.53644740133609</v>
      </c>
      <c r="H191" t="str">
        <f>VLOOKUP(Table1[[#This Row],[Manager]],Managers!$A$2:$B$9,2,FALSE)</f>
        <v>Russ Geller</v>
      </c>
      <c r="I191" t="str">
        <f>VLOOKUP(Table1[[#This Row],[Product]],Products!$A$2:$B$11,2,FALSE)</f>
        <v>Mockolate</v>
      </c>
      <c r="J191" t="str">
        <f>IF(Table1[[#This Row],[Sales]]&gt;4000,"Exceeded the target",IF(AND(Table1[[#This Row],[Sales]]&lt;=4000,Table1[[#This Row],[Sales]]&lt;2500),"Did not meet the target","met the target"))</f>
        <v>met the target</v>
      </c>
      <c r="K191">
        <f>Table1[[#This Row],[Sales]]-Table1[[#This Row],[Commission]]</f>
        <v>3567.4635525986641</v>
      </c>
      <c r="L191">
        <f>Table1[[#This Row],[Sales]]+Table1[[#This Row],[Commission]]-Table1[[#This Row],[Revenue]]</f>
        <v>353.07289480267173</v>
      </c>
      <c r="M191">
        <f>Table1[[#This Row],[Revenue]]-Table1[[#This Row],[Cost]]</f>
        <v>3214.3906577959924</v>
      </c>
    </row>
    <row r="192" spans="1:13" x14ac:dyDescent="0.3">
      <c r="A192" s="1">
        <v>45046</v>
      </c>
      <c r="B192">
        <f>YEAR(Table1[[#This Row],[Date]])</f>
        <v>2023</v>
      </c>
      <c r="C192" t="s">
        <v>65</v>
      </c>
      <c r="D192" t="s">
        <v>3</v>
      </c>
      <c r="E192" t="s">
        <v>8</v>
      </c>
      <c r="F192">
        <v>2645</v>
      </c>
      <c r="G192">
        <v>82.849291778108494</v>
      </c>
      <c r="H192" t="str">
        <f>VLOOKUP(Table1[[#This Row],[Manager]],Managers!$A$2:$B$9,2,FALSE)</f>
        <v>Russ Geller</v>
      </c>
      <c r="I192" t="str">
        <f>VLOOKUP(Table1[[#This Row],[Product]],Products!$A$2:$B$11,2,FALSE)</f>
        <v>Traditional English Trifle</v>
      </c>
      <c r="J192" t="str">
        <f>IF(Table1[[#This Row],[Sales]]&gt;4000,"Exceeded the target",IF(AND(Table1[[#This Row],[Sales]]&lt;=4000,Table1[[#This Row],[Sales]]&lt;2500),"Did not meet the target","met the target"))</f>
        <v>met the target</v>
      </c>
      <c r="K192">
        <f>Table1[[#This Row],[Sales]]-Table1[[#This Row],[Commission]]</f>
        <v>2562.1507082218914</v>
      </c>
      <c r="L192">
        <f>Table1[[#This Row],[Sales]]+Table1[[#This Row],[Commission]]-Table1[[#This Row],[Revenue]]</f>
        <v>165.69858355621727</v>
      </c>
      <c r="M192">
        <f>Table1[[#This Row],[Revenue]]-Table1[[#This Row],[Cost]]</f>
        <v>2396.4521246656741</v>
      </c>
    </row>
    <row r="193" spans="1:13" x14ac:dyDescent="0.3">
      <c r="A193" s="1">
        <v>45046</v>
      </c>
      <c r="B193">
        <f>YEAR(Table1[[#This Row],[Date]])</f>
        <v>2023</v>
      </c>
      <c r="C193" t="s">
        <v>66</v>
      </c>
      <c r="D193" t="s">
        <v>3</v>
      </c>
      <c r="E193" t="s">
        <v>9</v>
      </c>
      <c r="F193">
        <v>1843</v>
      </c>
      <c r="G193">
        <v>56.440479071020171</v>
      </c>
      <c r="H193" t="str">
        <f>VLOOKUP(Table1[[#This Row],[Manager]],Managers!$A$2:$B$9,2,FALSE)</f>
        <v>Russ Geller</v>
      </c>
      <c r="I193" t="str">
        <f>VLOOKUP(Table1[[#This Row],[Product]],Products!$A$2:$B$11,2,FALSE)</f>
        <v>Floor Cheesecake</v>
      </c>
      <c r="J193" t="str">
        <f>IF(Table1[[#This Row],[Sales]]&gt;4000,"Exceeded the target",IF(AND(Table1[[#This Row],[Sales]]&lt;=4000,Table1[[#This Row],[Sales]]&lt;2500),"Did not meet the target","met the target"))</f>
        <v>Did not meet the target</v>
      </c>
      <c r="K193">
        <f>Table1[[#This Row],[Sales]]-Table1[[#This Row],[Commission]]</f>
        <v>1786.5595209289797</v>
      </c>
      <c r="L193">
        <f>Table1[[#This Row],[Sales]]+Table1[[#This Row],[Commission]]-Table1[[#This Row],[Revenue]]</f>
        <v>112.88095814204053</v>
      </c>
      <c r="M193">
        <f>Table1[[#This Row],[Revenue]]-Table1[[#This Row],[Cost]]</f>
        <v>1673.6785627869392</v>
      </c>
    </row>
    <row r="194" spans="1:13" x14ac:dyDescent="0.3">
      <c r="A194" s="1">
        <v>45077</v>
      </c>
      <c r="B194">
        <f>YEAR(Table1[[#This Row],[Date]])</f>
        <v>2023</v>
      </c>
      <c r="C194" t="s">
        <v>55</v>
      </c>
      <c r="D194" t="s">
        <v>3</v>
      </c>
      <c r="E194" t="s">
        <v>10</v>
      </c>
      <c r="F194">
        <v>2896</v>
      </c>
      <c r="G194">
        <v>201.4932286006285</v>
      </c>
      <c r="H194" t="str">
        <f>VLOOKUP(Table1[[#This Row],[Manager]],Managers!$A$2:$B$9,2,FALSE)</f>
        <v>Russ Geller</v>
      </c>
      <c r="I194" t="str">
        <f>VLOOKUP(Table1[[#This Row],[Product]],Products!$A$2:$B$11,2,FALSE)</f>
        <v>Mockolate</v>
      </c>
      <c r="J194" t="str">
        <f>IF(Table1[[#This Row],[Sales]]&gt;4000,"Exceeded the target",IF(AND(Table1[[#This Row],[Sales]]&lt;=4000,Table1[[#This Row],[Sales]]&lt;2500),"Did not meet the target","met the target"))</f>
        <v>met the target</v>
      </c>
      <c r="K194">
        <f>Table1[[#This Row],[Sales]]-Table1[[#This Row],[Commission]]</f>
        <v>2694.5067713993717</v>
      </c>
      <c r="L194">
        <f>Table1[[#This Row],[Sales]]+Table1[[#This Row],[Commission]]-Table1[[#This Row],[Revenue]]</f>
        <v>402.9864572012566</v>
      </c>
      <c r="M194">
        <f>Table1[[#This Row],[Revenue]]-Table1[[#This Row],[Cost]]</f>
        <v>2291.5203141981151</v>
      </c>
    </row>
    <row r="195" spans="1:13" x14ac:dyDescent="0.3">
      <c r="A195" s="1">
        <v>45077</v>
      </c>
      <c r="B195">
        <f>YEAR(Table1[[#This Row],[Date]])</f>
        <v>2023</v>
      </c>
      <c r="C195" t="s">
        <v>56</v>
      </c>
      <c r="D195" t="s">
        <v>3</v>
      </c>
      <c r="E195" t="s">
        <v>9</v>
      </c>
      <c r="F195">
        <v>3721</v>
      </c>
      <c r="G195">
        <v>184.60704778031399</v>
      </c>
      <c r="H195" t="str">
        <f>VLOOKUP(Table1[[#This Row],[Manager]],Managers!$A$2:$B$9,2,FALSE)</f>
        <v>Russ Geller</v>
      </c>
      <c r="I195" t="str">
        <f>VLOOKUP(Table1[[#This Row],[Product]],Products!$A$2:$B$11,2,FALSE)</f>
        <v>Floor Cheesecake</v>
      </c>
      <c r="J195" t="str">
        <f>IF(Table1[[#This Row],[Sales]]&gt;4000,"Exceeded the target",IF(AND(Table1[[#This Row],[Sales]]&lt;=4000,Table1[[#This Row],[Sales]]&lt;2500),"Did not meet the target","met the target"))</f>
        <v>met the target</v>
      </c>
      <c r="K195">
        <f>Table1[[#This Row],[Sales]]-Table1[[#This Row],[Commission]]</f>
        <v>3536.3929522196859</v>
      </c>
      <c r="L195">
        <f>Table1[[#This Row],[Sales]]+Table1[[#This Row],[Commission]]-Table1[[#This Row],[Revenue]]</f>
        <v>369.21409556062827</v>
      </c>
      <c r="M195">
        <f>Table1[[#This Row],[Revenue]]-Table1[[#This Row],[Cost]]</f>
        <v>3167.1788566590576</v>
      </c>
    </row>
    <row r="196" spans="1:13" x14ac:dyDescent="0.3">
      <c r="A196" s="1">
        <v>45077</v>
      </c>
      <c r="B196">
        <f>YEAR(Table1[[#This Row],[Date]])</f>
        <v>2023</v>
      </c>
      <c r="C196" t="s">
        <v>57</v>
      </c>
      <c r="D196" t="s">
        <v>3</v>
      </c>
      <c r="E196" t="s">
        <v>8</v>
      </c>
      <c r="F196">
        <v>2619</v>
      </c>
      <c r="G196">
        <v>145.4866817017176</v>
      </c>
      <c r="H196" t="str">
        <f>VLOOKUP(Table1[[#This Row],[Manager]],Managers!$A$2:$B$9,2,FALSE)</f>
        <v>Russ Geller</v>
      </c>
      <c r="I196" t="str">
        <f>VLOOKUP(Table1[[#This Row],[Product]],Products!$A$2:$B$11,2,FALSE)</f>
        <v>Traditional English Trifle</v>
      </c>
      <c r="J196" t="str">
        <f>IF(Table1[[#This Row],[Sales]]&gt;4000,"Exceeded the target",IF(AND(Table1[[#This Row],[Sales]]&lt;=4000,Table1[[#This Row],[Sales]]&lt;2500),"Did not meet the target","met the target"))</f>
        <v>met the target</v>
      </c>
      <c r="K196">
        <f>Table1[[#This Row],[Sales]]-Table1[[#This Row],[Commission]]</f>
        <v>2473.5133182982822</v>
      </c>
      <c r="L196">
        <f>Table1[[#This Row],[Sales]]+Table1[[#This Row],[Commission]]-Table1[[#This Row],[Revenue]]</f>
        <v>290.97336340343554</v>
      </c>
      <c r="M196">
        <f>Table1[[#This Row],[Revenue]]-Table1[[#This Row],[Cost]]</f>
        <v>2182.5399548948467</v>
      </c>
    </row>
    <row r="197" spans="1:13" x14ac:dyDescent="0.3">
      <c r="A197" s="1">
        <v>45107</v>
      </c>
      <c r="B197">
        <f>YEAR(Table1[[#This Row],[Date]])</f>
        <v>2023</v>
      </c>
      <c r="C197" t="s">
        <v>58</v>
      </c>
      <c r="D197" t="s">
        <v>3</v>
      </c>
      <c r="E197" t="s">
        <v>10</v>
      </c>
      <c r="F197">
        <v>3322</v>
      </c>
      <c r="G197">
        <v>209.77193080616641</v>
      </c>
      <c r="H197" t="str">
        <f>VLOOKUP(Table1[[#This Row],[Manager]],Managers!$A$2:$B$9,2,FALSE)</f>
        <v>Russ Geller</v>
      </c>
      <c r="I197" t="str">
        <f>VLOOKUP(Table1[[#This Row],[Product]],Products!$A$2:$B$11,2,FALSE)</f>
        <v>Mockolate</v>
      </c>
      <c r="J197" t="str">
        <f>IF(Table1[[#This Row],[Sales]]&gt;4000,"Exceeded the target",IF(AND(Table1[[#This Row],[Sales]]&lt;=4000,Table1[[#This Row],[Sales]]&lt;2500),"Did not meet the target","met the target"))</f>
        <v>met the target</v>
      </c>
      <c r="K197">
        <f>Table1[[#This Row],[Sales]]-Table1[[#This Row],[Commission]]</f>
        <v>3112.2280691938336</v>
      </c>
      <c r="L197">
        <f>Table1[[#This Row],[Sales]]+Table1[[#This Row],[Commission]]-Table1[[#This Row],[Revenue]]</f>
        <v>419.54386161233288</v>
      </c>
      <c r="M197">
        <f>Table1[[#This Row],[Revenue]]-Table1[[#This Row],[Cost]]</f>
        <v>2692.6842075815007</v>
      </c>
    </row>
    <row r="198" spans="1:13" x14ac:dyDescent="0.3">
      <c r="A198" s="1">
        <v>45107</v>
      </c>
      <c r="B198">
        <f>YEAR(Table1[[#This Row],[Date]])</f>
        <v>2023</v>
      </c>
      <c r="C198" t="s">
        <v>59</v>
      </c>
      <c r="D198" t="s">
        <v>3</v>
      </c>
      <c r="E198" t="s">
        <v>9</v>
      </c>
      <c r="F198">
        <v>3089</v>
      </c>
      <c r="G198">
        <v>137.2190094536368</v>
      </c>
      <c r="H198" t="str">
        <f>VLOOKUP(Table1[[#This Row],[Manager]],Managers!$A$2:$B$9,2,FALSE)</f>
        <v>Russ Geller</v>
      </c>
      <c r="I198" t="str">
        <f>VLOOKUP(Table1[[#This Row],[Product]],Products!$A$2:$B$11,2,FALSE)</f>
        <v>Floor Cheesecake</v>
      </c>
      <c r="J198" t="str">
        <f>IF(Table1[[#This Row],[Sales]]&gt;4000,"Exceeded the target",IF(AND(Table1[[#This Row],[Sales]]&lt;=4000,Table1[[#This Row],[Sales]]&lt;2500),"Did not meet the target","met the target"))</f>
        <v>met the target</v>
      </c>
      <c r="K198">
        <f>Table1[[#This Row],[Sales]]-Table1[[#This Row],[Commission]]</f>
        <v>2951.7809905463632</v>
      </c>
      <c r="L198">
        <f>Table1[[#This Row],[Sales]]+Table1[[#This Row],[Commission]]-Table1[[#This Row],[Revenue]]</f>
        <v>274.43801890727354</v>
      </c>
      <c r="M198">
        <f>Table1[[#This Row],[Revenue]]-Table1[[#This Row],[Cost]]</f>
        <v>2677.3429716390897</v>
      </c>
    </row>
    <row r="199" spans="1:13" x14ac:dyDescent="0.3">
      <c r="A199" s="1">
        <v>45107</v>
      </c>
      <c r="B199">
        <f>YEAR(Table1[[#This Row],[Date]])</f>
        <v>2023</v>
      </c>
      <c r="C199" t="s">
        <v>60</v>
      </c>
      <c r="D199" t="s">
        <v>3</v>
      </c>
      <c r="E199" t="s">
        <v>8</v>
      </c>
      <c r="F199">
        <v>1591</v>
      </c>
      <c r="G199">
        <v>74.131491164388024</v>
      </c>
      <c r="H199" t="str">
        <f>VLOOKUP(Table1[[#This Row],[Manager]],Managers!$A$2:$B$9,2,FALSE)</f>
        <v>Russ Geller</v>
      </c>
      <c r="I199" t="str">
        <f>VLOOKUP(Table1[[#This Row],[Product]],Products!$A$2:$B$11,2,FALSE)</f>
        <v>Traditional English Trifle</v>
      </c>
      <c r="J199" t="str">
        <f>IF(Table1[[#This Row],[Sales]]&gt;4000,"Exceeded the target",IF(AND(Table1[[#This Row],[Sales]]&lt;=4000,Table1[[#This Row],[Sales]]&lt;2500),"Did not meet the target","met the target"))</f>
        <v>Did not meet the target</v>
      </c>
      <c r="K199">
        <f>Table1[[#This Row],[Sales]]-Table1[[#This Row],[Commission]]</f>
        <v>1516.8685088356119</v>
      </c>
      <c r="L199">
        <f>Table1[[#This Row],[Sales]]+Table1[[#This Row],[Commission]]-Table1[[#This Row],[Revenue]]</f>
        <v>148.26298232877616</v>
      </c>
      <c r="M199">
        <f>Table1[[#This Row],[Revenue]]-Table1[[#This Row],[Cost]]</f>
        <v>1368.6055265068358</v>
      </c>
    </row>
    <row r="200" spans="1:13" x14ac:dyDescent="0.3">
      <c r="A200" s="1">
        <v>45138</v>
      </c>
      <c r="B200">
        <f>YEAR(Table1[[#This Row],[Date]])</f>
        <v>2023</v>
      </c>
      <c r="C200" t="s">
        <v>61</v>
      </c>
      <c r="D200" t="s">
        <v>3</v>
      </c>
      <c r="E200" t="s">
        <v>8</v>
      </c>
      <c r="F200">
        <v>4453</v>
      </c>
      <c r="G200">
        <v>302.97367908118679</v>
      </c>
      <c r="H200" t="str">
        <f>VLOOKUP(Table1[[#This Row],[Manager]],Managers!$A$2:$B$9,2,FALSE)</f>
        <v>Russ Geller</v>
      </c>
      <c r="I200" t="str">
        <f>VLOOKUP(Table1[[#This Row],[Product]],Products!$A$2:$B$11,2,FALSE)</f>
        <v>Traditional English Trifle</v>
      </c>
      <c r="J200" t="str">
        <f>IF(Table1[[#This Row],[Sales]]&gt;4000,"Exceeded the target",IF(AND(Table1[[#This Row],[Sales]]&lt;=4000,Table1[[#This Row],[Sales]]&lt;2500),"Did not meet the target","met the target"))</f>
        <v>Exceeded the target</v>
      </c>
      <c r="K200">
        <f>Table1[[#This Row],[Sales]]-Table1[[#This Row],[Commission]]</f>
        <v>4150.0263209188133</v>
      </c>
      <c r="L200">
        <f>Table1[[#This Row],[Sales]]+Table1[[#This Row],[Commission]]-Table1[[#This Row],[Revenue]]</f>
        <v>605.94735816237335</v>
      </c>
      <c r="M200">
        <f>Table1[[#This Row],[Revenue]]-Table1[[#This Row],[Cost]]</f>
        <v>3544.07896275644</v>
      </c>
    </row>
    <row r="201" spans="1:13" x14ac:dyDescent="0.3">
      <c r="A201" s="1">
        <v>45138</v>
      </c>
      <c r="B201">
        <f>YEAR(Table1[[#This Row],[Date]])</f>
        <v>2023</v>
      </c>
      <c r="C201" t="s">
        <v>62</v>
      </c>
      <c r="D201" t="s">
        <v>3</v>
      </c>
      <c r="E201" t="s">
        <v>10</v>
      </c>
      <c r="F201">
        <v>1067</v>
      </c>
      <c r="G201">
        <v>61.449309553518383</v>
      </c>
      <c r="H201" t="str">
        <f>VLOOKUP(Table1[[#This Row],[Manager]],Managers!$A$2:$B$9,2,FALSE)</f>
        <v>Russ Geller</v>
      </c>
      <c r="I201" t="str">
        <f>VLOOKUP(Table1[[#This Row],[Product]],Products!$A$2:$B$11,2,FALSE)</f>
        <v>Mockolate</v>
      </c>
      <c r="J201" t="str">
        <f>IF(Table1[[#This Row],[Sales]]&gt;4000,"Exceeded the target",IF(AND(Table1[[#This Row],[Sales]]&lt;=4000,Table1[[#This Row],[Sales]]&lt;2500),"Did not meet the target","met the target"))</f>
        <v>Did not meet the target</v>
      </c>
      <c r="K201">
        <f>Table1[[#This Row],[Sales]]-Table1[[#This Row],[Commission]]</f>
        <v>1005.5506904464817</v>
      </c>
      <c r="L201">
        <f>Table1[[#This Row],[Sales]]+Table1[[#This Row],[Commission]]-Table1[[#This Row],[Revenue]]</f>
        <v>122.89861910703667</v>
      </c>
      <c r="M201">
        <f>Table1[[#This Row],[Revenue]]-Table1[[#This Row],[Cost]]</f>
        <v>882.652071339445</v>
      </c>
    </row>
    <row r="202" spans="1:13" x14ac:dyDescent="0.3">
      <c r="A202" s="1">
        <v>45138</v>
      </c>
      <c r="B202">
        <f>YEAR(Table1[[#This Row],[Date]])</f>
        <v>2023</v>
      </c>
      <c r="C202" t="s">
        <v>63</v>
      </c>
      <c r="D202" t="s">
        <v>3</v>
      </c>
      <c r="E202" t="s">
        <v>9</v>
      </c>
      <c r="F202">
        <v>1024</v>
      </c>
      <c r="G202">
        <v>40.280893663973217</v>
      </c>
      <c r="H202" t="str">
        <f>VLOOKUP(Table1[[#This Row],[Manager]],Managers!$A$2:$B$9,2,FALSE)</f>
        <v>Russ Geller</v>
      </c>
      <c r="I202" t="str">
        <f>VLOOKUP(Table1[[#This Row],[Product]],Products!$A$2:$B$11,2,FALSE)</f>
        <v>Floor Cheesecake</v>
      </c>
      <c r="J202" t="str">
        <f>IF(Table1[[#This Row],[Sales]]&gt;4000,"Exceeded the target",IF(AND(Table1[[#This Row],[Sales]]&lt;=4000,Table1[[#This Row],[Sales]]&lt;2500),"Did not meet the target","met the target"))</f>
        <v>Did not meet the target</v>
      </c>
      <c r="K202">
        <f>Table1[[#This Row],[Sales]]-Table1[[#This Row],[Commission]]</f>
        <v>983.71910633602681</v>
      </c>
      <c r="L202">
        <f>Table1[[#This Row],[Sales]]+Table1[[#This Row],[Commission]]-Table1[[#This Row],[Revenue]]</f>
        <v>80.56178732794649</v>
      </c>
      <c r="M202">
        <f>Table1[[#This Row],[Revenue]]-Table1[[#This Row],[Cost]]</f>
        <v>903.15731900808032</v>
      </c>
    </row>
    <row r="203" spans="1:13" x14ac:dyDescent="0.3">
      <c r="A203" s="1">
        <v>45169</v>
      </c>
      <c r="B203">
        <f>YEAR(Table1[[#This Row],[Date]])</f>
        <v>2023</v>
      </c>
      <c r="C203" t="s">
        <v>64</v>
      </c>
      <c r="D203" t="s">
        <v>3</v>
      </c>
      <c r="E203" t="s">
        <v>10</v>
      </c>
      <c r="F203">
        <v>4083</v>
      </c>
      <c r="G203">
        <v>276.432753502666</v>
      </c>
      <c r="H203" t="str">
        <f>VLOOKUP(Table1[[#This Row],[Manager]],Managers!$A$2:$B$9,2,FALSE)</f>
        <v>Russ Geller</v>
      </c>
      <c r="I203" t="str">
        <f>VLOOKUP(Table1[[#This Row],[Product]],Products!$A$2:$B$11,2,FALSE)</f>
        <v>Mockolate</v>
      </c>
      <c r="J203" t="str">
        <f>IF(Table1[[#This Row],[Sales]]&gt;4000,"Exceeded the target",IF(AND(Table1[[#This Row],[Sales]]&lt;=4000,Table1[[#This Row],[Sales]]&lt;2500),"Did not meet the target","met the target"))</f>
        <v>Exceeded the target</v>
      </c>
      <c r="K203">
        <f>Table1[[#This Row],[Sales]]-Table1[[#This Row],[Commission]]</f>
        <v>3806.5672464973341</v>
      </c>
      <c r="L203">
        <f>Table1[[#This Row],[Sales]]+Table1[[#This Row],[Commission]]-Table1[[#This Row],[Revenue]]</f>
        <v>552.86550700533189</v>
      </c>
      <c r="M203">
        <f>Table1[[#This Row],[Revenue]]-Table1[[#This Row],[Cost]]</f>
        <v>3253.7017394920022</v>
      </c>
    </row>
    <row r="204" spans="1:13" x14ac:dyDescent="0.3">
      <c r="A204" s="1">
        <v>45169</v>
      </c>
      <c r="B204">
        <f>YEAR(Table1[[#This Row],[Date]])</f>
        <v>2023</v>
      </c>
      <c r="C204" t="s">
        <v>65</v>
      </c>
      <c r="D204" t="s">
        <v>3</v>
      </c>
      <c r="E204" t="s">
        <v>9</v>
      </c>
      <c r="F204">
        <v>3080</v>
      </c>
      <c r="G204">
        <v>154.29438116267701</v>
      </c>
      <c r="H204" t="str">
        <f>VLOOKUP(Table1[[#This Row],[Manager]],Managers!$A$2:$B$9,2,FALSE)</f>
        <v>Russ Geller</v>
      </c>
      <c r="I204" t="str">
        <f>VLOOKUP(Table1[[#This Row],[Product]],Products!$A$2:$B$11,2,FALSE)</f>
        <v>Floor Cheesecake</v>
      </c>
      <c r="J204" t="str">
        <f>IF(Table1[[#This Row],[Sales]]&gt;4000,"Exceeded the target",IF(AND(Table1[[#This Row],[Sales]]&lt;=4000,Table1[[#This Row],[Sales]]&lt;2500),"Did not meet the target","met the target"))</f>
        <v>met the target</v>
      </c>
      <c r="K204">
        <f>Table1[[#This Row],[Sales]]-Table1[[#This Row],[Commission]]</f>
        <v>2925.7056188373231</v>
      </c>
      <c r="L204">
        <f>Table1[[#This Row],[Sales]]+Table1[[#This Row],[Commission]]-Table1[[#This Row],[Revenue]]</f>
        <v>308.58876232535385</v>
      </c>
      <c r="M204">
        <f>Table1[[#This Row],[Revenue]]-Table1[[#This Row],[Cost]]</f>
        <v>2617.1168565119692</v>
      </c>
    </row>
    <row r="205" spans="1:13" x14ac:dyDescent="0.3">
      <c r="A205" s="1">
        <v>45169</v>
      </c>
      <c r="B205">
        <f>YEAR(Table1[[#This Row],[Date]])</f>
        <v>2023</v>
      </c>
      <c r="C205" t="s">
        <v>66</v>
      </c>
      <c r="D205" t="s">
        <v>3</v>
      </c>
      <c r="E205" t="s">
        <v>8</v>
      </c>
      <c r="F205">
        <v>3603</v>
      </c>
      <c r="G205">
        <v>142.35335196537389</v>
      </c>
      <c r="H205" t="str">
        <f>VLOOKUP(Table1[[#This Row],[Manager]],Managers!$A$2:$B$9,2,FALSE)</f>
        <v>Russ Geller</v>
      </c>
      <c r="I205" t="str">
        <f>VLOOKUP(Table1[[#This Row],[Product]],Products!$A$2:$B$11,2,FALSE)</f>
        <v>Traditional English Trifle</v>
      </c>
      <c r="J205" t="str">
        <f>IF(Table1[[#This Row],[Sales]]&gt;4000,"Exceeded the target",IF(AND(Table1[[#This Row],[Sales]]&lt;=4000,Table1[[#This Row],[Sales]]&lt;2500),"Did not meet the target","met the target"))</f>
        <v>met the target</v>
      </c>
      <c r="K205">
        <f>Table1[[#This Row],[Sales]]-Table1[[#This Row],[Commission]]</f>
        <v>3460.6466480346262</v>
      </c>
      <c r="L205">
        <f>Table1[[#This Row],[Sales]]+Table1[[#This Row],[Commission]]-Table1[[#This Row],[Revenue]]</f>
        <v>284.70670393074761</v>
      </c>
      <c r="M205">
        <f>Table1[[#This Row],[Revenue]]-Table1[[#This Row],[Cost]]</f>
        <v>3175.9399441038786</v>
      </c>
    </row>
    <row r="206" spans="1:13" x14ac:dyDescent="0.3">
      <c r="A206" s="1">
        <v>45199</v>
      </c>
      <c r="B206">
        <f>YEAR(Table1[[#This Row],[Date]])</f>
        <v>2023</v>
      </c>
      <c r="C206" t="s">
        <v>55</v>
      </c>
      <c r="D206" t="s">
        <v>3</v>
      </c>
      <c r="E206" t="s">
        <v>8</v>
      </c>
      <c r="F206">
        <v>3711</v>
      </c>
      <c r="G206">
        <v>130.8185879185701</v>
      </c>
      <c r="H206" t="str">
        <f>VLOOKUP(Table1[[#This Row],[Manager]],Managers!$A$2:$B$9,2,FALSE)</f>
        <v>Russ Geller</v>
      </c>
      <c r="I206" t="str">
        <f>VLOOKUP(Table1[[#This Row],[Product]],Products!$A$2:$B$11,2,FALSE)</f>
        <v>Traditional English Trifle</v>
      </c>
      <c r="J206" t="str">
        <f>IF(Table1[[#This Row],[Sales]]&gt;4000,"Exceeded the target",IF(AND(Table1[[#This Row],[Sales]]&lt;=4000,Table1[[#This Row],[Sales]]&lt;2500),"Did not meet the target","met the target"))</f>
        <v>met the target</v>
      </c>
      <c r="K206">
        <f>Table1[[#This Row],[Sales]]-Table1[[#This Row],[Commission]]</f>
        <v>3580.1814120814297</v>
      </c>
      <c r="L206">
        <f>Table1[[#This Row],[Sales]]+Table1[[#This Row],[Commission]]-Table1[[#This Row],[Revenue]]</f>
        <v>261.6371758371406</v>
      </c>
      <c r="M206">
        <f>Table1[[#This Row],[Revenue]]-Table1[[#This Row],[Cost]]</f>
        <v>3318.5442362442891</v>
      </c>
    </row>
    <row r="207" spans="1:13" x14ac:dyDescent="0.3">
      <c r="A207" s="1">
        <v>45199</v>
      </c>
      <c r="B207">
        <f>YEAR(Table1[[#This Row],[Date]])</f>
        <v>2023</v>
      </c>
      <c r="C207" t="s">
        <v>56</v>
      </c>
      <c r="D207" t="s">
        <v>3</v>
      </c>
      <c r="E207" t="s">
        <v>9</v>
      </c>
      <c r="F207">
        <v>1821</v>
      </c>
      <c r="G207">
        <v>98.633940844881025</v>
      </c>
      <c r="H207" t="str">
        <f>VLOOKUP(Table1[[#This Row],[Manager]],Managers!$A$2:$B$9,2,FALSE)</f>
        <v>Russ Geller</v>
      </c>
      <c r="I207" t="str">
        <f>VLOOKUP(Table1[[#This Row],[Product]],Products!$A$2:$B$11,2,FALSE)</f>
        <v>Floor Cheesecake</v>
      </c>
      <c r="J207" t="str">
        <f>IF(Table1[[#This Row],[Sales]]&gt;4000,"Exceeded the target",IF(AND(Table1[[#This Row],[Sales]]&lt;=4000,Table1[[#This Row],[Sales]]&lt;2500),"Did not meet the target","met the target"))</f>
        <v>Did not meet the target</v>
      </c>
      <c r="K207">
        <f>Table1[[#This Row],[Sales]]-Table1[[#This Row],[Commission]]</f>
        <v>1722.366059155119</v>
      </c>
      <c r="L207">
        <f>Table1[[#This Row],[Sales]]+Table1[[#This Row],[Commission]]-Table1[[#This Row],[Revenue]]</f>
        <v>197.26788168976191</v>
      </c>
      <c r="M207">
        <f>Table1[[#This Row],[Revenue]]-Table1[[#This Row],[Cost]]</f>
        <v>1525.0981774653571</v>
      </c>
    </row>
    <row r="208" spans="1:13" x14ac:dyDescent="0.3">
      <c r="A208" s="1">
        <v>45199</v>
      </c>
      <c r="B208">
        <f>YEAR(Table1[[#This Row],[Date]])</f>
        <v>2023</v>
      </c>
      <c r="C208" t="s">
        <v>57</v>
      </c>
      <c r="D208" t="s">
        <v>3</v>
      </c>
      <c r="E208" t="s">
        <v>10</v>
      </c>
      <c r="F208">
        <v>1307</v>
      </c>
      <c r="G208">
        <v>59.223205332772608</v>
      </c>
      <c r="H208" t="str">
        <f>VLOOKUP(Table1[[#This Row],[Manager]],Managers!$A$2:$B$9,2,FALSE)</f>
        <v>Russ Geller</v>
      </c>
      <c r="I208" t="str">
        <f>VLOOKUP(Table1[[#This Row],[Product]],Products!$A$2:$B$11,2,FALSE)</f>
        <v>Mockolate</v>
      </c>
      <c r="J208" t="str">
        <f>IF(Table1[[#This Row],[Sales]]&gt;4000,"Exceeded the target",IF(AND(Table1[[#This Row],[Sales]]&lt;=4000,Table1[[#This Row],[Sales]]&lt;2500),"Did not meet the target","met the target"))</f>
        <v>Did not meet the target</v>
      </c>
      <c r="K208">
        <f>Table1[[#This Row],[Sales]]-Table1[[#This Row],[Commission]]</f>
        <v>1247.7767946672275</v>
      </c>
      <c r="L208">
        <f>Table1[[#This Row],[Sales]]+Table1[[#This Row],[Commission]]-Table1[[#This Row],[Revenue]]</f>
        <v>118.44641066554505</v>
      </c>
      <c r="M208">
        <f>Table1[[#This Row],[Revenue]]-Table1[[#This Row],[Cost]]</f>
        <v>1129.3303840016824</v>
      </c>
    </row>
    <row r="209" spans="1:13" x14ac:dyDescent="0.3">
      <c r="A209" s="1">
        <v>45230</v>
      </c>
      <c r="B209">
        <f>YEAR(Table1[[#This Row],[Date]])</f>
        <v>2023</v>
      </c>
      <c r="C209" t="s">
        <v>58</v>
      </c>
      <c r="D209" t="s">
        <v>3</v>
      </c>
      <c r="E209" t="s">
        <v>8</v>
      </c>
      <c r="F209">
        <v>4886</v>
      </c>
      <c r="G209">
        <v>245.44652605481821</v>
      </c>
      <c r="H209" t="str">
        <f>VLOOKUP(Table1[[#This Row],[Manager]],Managers!$A$2:$B$9,2,FALSE)</f>
        <v>Russ Geller</v>
      </c>
      <c r="I209" t="str">
        <f>VLOOKUP(Table1[[#This Row],[Product]],Products!$A$2:$B$11,2,FALSE)</f>
        <v>Traditional English Trifle</v>
      </c>
      <c r="J209" t="str">
        <f>IF(Table1[[#This Row],[Sales]]&gt;4000,"Exceeded the target",IF(AND(Table1[[#This Row],[Sales]]&lt;=4000,Table1[[#This Row],[Sales]]&lt;2500),"Did not meet the target","met the target"))</f>
        <v>Exceeded the target</v>
      </c>
      <c r="K209">
        <f>Table1[[#This Row],[Sales]]-Table1[[#This Row],[Commission]]</f>
        <v>4640.5534739451814</v>
      </c>
      <c r="L209">
        <f>Table1[[#This Row],[Sales]]+Table1[[#This Row],[Commission]]-Table1[[#This Row],[Revenue]]</f>
        <v>490.89305210963721</v>
      </c>
      <c r="M209">
        <f>Table1[[#This Row],[Revenue]]-Table1[[#This Row],[Cost]]</f>
        <v>4149.6604218355442</v>
      </c>
    </row>
    <row r="210" spans="1:13" x14ac:dyDescent="0.3">
      <c r="A210" s="1">
        <v>45230</v>
      </c>
      <c r="B210">
        <f>YEAR(Table1[[#This Row],[Date]])</f>
        <v>2023</v>
      </c>
      <c r="C210" t="s">
        <v>59</v>
      </c>
      <c r="D210" t="s">
        <v>3</v>
      </c>
      <c r="E210" t="s">
        <v>10</v>
      </c>
      <c r="F210">
        <v>2970</v>
      </c>
      <c r="G210">
        <v>133.41654182903281</v>
      </c>
      <c r="H210" t="str">
        <f>VLOOKUP(Table1[[#This Row],[Manager]],Managers!$A$2:$B$9,2,FALSE)</f>
        <v>Russ Geller</v>
      </c>
      <c r="I210" t="str">
        <f>VLOOKUP(Table1[[#This Row],[Product]],Products!$A$2:$B$11,2,FALSE)</f>
        <v>Mockolate</v>
      </c>
      <c r="J210" t="str">
        <f>IF(Table1[[#This Row],[Sales]]&gt;4000,"Exceeded the target",IF(AND(Table1[[#This Row],[Sales]]&lt;=4000,Table1[[#This Row],[Sales]]&lt;2500),"Did not meet the target","met the target"))</f>
        <v>met the target</v>
      </c>
      <c r="K210">
        <f>Table1[[#This Row],[Sales]]-Table1[[#This Row],[Commission]]</f>
        <v>2836.5834581709673</v>
      </c>
      <c r="L210">
        <f>Table1[[#This Row],[Sales]]+Table1[[#This Row],[Commission]]-Table1[[#This Row],[Revenue]]</f>
        <v>266.83308365806533</v>
      </c>
      <c r="M210">
        <f>Table1[[#This Row],[Revenue]]-Table1[[#This Row],[Cost]]</f>
        <v>2569.750374512902</v>
      </c>
    </row>
    <row r="211" spans="1:13" x14ac:dyDescent="0.3">
      <c r="A211" s="1">
        <v>45230</v>
      </c>
      <c r="B211">
        <f>YEAR(Table1[[#This Row],[Date]])</f>
        <v>2023</v>
      </c>
      <c r="C211" t="s">
        <v>60</v>
      </c>
      <c r="D211" t="s">
        <v>3</v>
      </c>
      <c r="E211" t="s">
        <v>9</v>
      </c>
      <c r="F211">
        <v>1730</v>
      </c>
      <c r="G211">
        <v>73.378353157802948</v>
      </c>
      <c r="H211" t="str">
        <f>VLOOKUP(Table1[[#This Row],[Manager]],Managers!$A$2:$B$9,2,FALSE)</f>
        <v>Russ Geller</v>
      </c>
      <c r="I211" t="str">
        <f>VLOOKUP(Table1[[#This Row],[Product]],Products!$A$2:$B$11,2,FALSE)</f>
        <v>Floor Cheesecake</v>
      </c>
      <c r="J211" t="str">
        <f>IF(Table1[[#This Row],[Sales]]&gt;4000,"Exceeded the target",IF(AND(Table1[[#This Row],[Sales]]&lt;=4000,Table1[[#This Row],[Sales]]&lt;2500),"Did not meet the target","met the target"))</f>
        <v>Did not meet the target</v>
      </c>
      <c r="K211">
        <f>Table1[[#This Row],[Sales]]-Table1[[#This Row],[Commission]]</f>
        <v>1656.6216468421972</v>
      </c>
      <c r="L211">
        <f>Table1[[#This Row],[Sales]]+Table1[[#This Row],[Commission]]-Table1[[#This Row],[Revenue]]</f>
        <v>146.7567063156057</v>
      </c>
      <c r="M211">
        <f>Table1[[#This Row],[Revenue]]-Table1[[#This Row],[Cost]]</f>
        <v>1509.8649405265915</v>
      </c>
    </row>
    <row r="212" spans="1:13" x14ac:dyDescent="0.3">
      <c r="A212" s="1">
        <v>45260</v>
      </c>
      <c r="B212">
        <f>YEAR(Table1[[#This Row],[Date]])</f>
        <v>2023</v>
      </c>
      <c r="C212" t="s">
        <v>61</v>
      </c>
      <c r="D212" t="s">
        <v>3</v>
      </c>
      <c r="E212" t="s">
        <v>8</v>
      </c>
      <c r="F212">
        <v>4116</v>
      </c>
      <c r="G212">
        <v>225.949372319107</v>
      </c>
      <c r="H212" t="str">
        <f>VLOOKUP(Table1[[#This Row],[Manager]],Managers!$A$2:$B$9,2,FALSE)</f>
        <v>Russ Geller</v>
      </c>
      <c r="I212" t="str">
        <f>VLOOKUP(Table1[[#This Row],[Product]],Products!$A$2:$B$11,2,FALSE)</f>
        <v>Traditional English Trifle</v>
      </c>
      <c r="J212" t="str">
        <f>IF(Table1[[#This Row],[Sales]]&gt;4000,"Exceeded the target",IF(AND(Table1[[#This Row],[Sales]]&lt;=4000,Table1[[#This Row],[Sales]]&lt;2500),"Did not meet the target","met the target"))</f>
        <v>Exceeded the target</v>
      </c>
      <c r="K212">
        <f>Table1[[#This Row],[Sales]]-Table1[[#This Row],[Commission]]</f>
        <v>3890.0506276808928</v>
      </c>
      <c r="L212">
        <f>Table1[[#This Row],[Sales]]+Table1[[#This Row],[Commission]]-Table1[[#This Row],[Revenue]]</f>
        <v>451.89874463821434</v>
      </c>
      <c r="M212">
        <f>Table1[[#This Row],[Revenue]]-Table1[[#This Row],[Cost]]</f>
        <v>3438.1518830426785</v>
      </c>
    </row>
    <row r="213" spans="1:13" x14ac:dyDescent="0.3">
      <c r="A213" s="1">
        <v>45260</v>
      </c>
      <c r="B213">
        <f>YEAR(Table1[[#This Row],[Date]])</f>
        <v>2023</v>
      </c>
      <c r="C213" t="s">
        <v>62</v>
      </c>
      <c r="D213" t="s">
        <v>3</v>
      </c>
      <c r="E213" t="s">
        <v>9</v>
      </c>
      <c r="F213">
        <v>3850</v>
      </c>
      <c r="G213">
        <v>224.92137401924131</v>
      </c>
      <c r="H213" t="str">
        <f>VLOOKUP(Table1[[#This Row],[Manager]],Managers!$A$2:$B$9,2,FALSE)</f>
        <v>Russ Geller</v>
      </c>
      <c r="I213" t="str">
        <f>VLOOKUP(Table1[[#This Row],[Product]],Products!$A$2:$B$11,2,FALSE)</f>
        <v>Floor Cheesecake</v>
      </c>
      <c r="J213" t="str">
        <f>IF(Table1[[#This Row],[Sales]]&gt;4000,"Exceeded the target",IF(AND(Table1[[#This Row],[Sales]]&lt;=4000,Table1[[#This Row],[Sales]]&lt;2500),"Did not meet the target","met the target"))</f>
        <v>met the target</v>
      </c>
      <c r="K213">
        <f>Table1[[#This Row],[Sales]]-Table1[[#This Row],[Commission]]</f>
        <v>3625.0786259807587</v>
      </c>
      <c r="L213">
        <f>Table1[[#This Row],[Sales]]+Table1[[#This Row],[Commission]]-Table1[[#This Row],[Revenue]]</f>
        <v>449.84274803848257</v>
      </c>
      <c r="M213">
        <f>Table1[[#This Row],[Revenue]]-Table1[[#This Row],[Cost]]</f>
        <v>3175.2358779422761</v>
      </c>
    </row>
    <row r="214" spans="1:13" x14ac:dyDescent="0.3">
      <c r="A214" s="1">
        <v>45260</v>
      </c>
      <c r="B214">
        <f>YEAR(Table1[[#This Row],[Date]])</f>
        <v>2023</v>
      </c>
      <c r="C214" t="s">
        <v>63</v>
      </c>
      <c r="D214" t="s">
        <v>3</v>
      </c>
      <c r="E214" t="s">
        <v>10</v>
      </c>
      <c r="F214">
        <v>2954</v>
      </c>
      <c r="G214">
        <v>112.8337828511583</v>
      </c>
      <c r="H214" t="str">
        <f>VLOOKUP(Table1[[#This Row],[Manager]],Managers!$A$2:$B$9,2,FALSE)</f>
        <v>Russ Geller</v>
      </c>
      <c r="I214" t="str">
        <f>VLOOKUP(Table1[[#This Row],[Product]],Products!$A$2:$B$11,2,FALSE)</f>
        <v>Mockolate</v>
      </c>
      <c r="J214" t="str">
        <f>IF(Table1[[#This Row],[Sales]]&gt;4000,"Exceeded the target",IF(AND(Table1[[#This Row],[Sales]]&lt;=4000,Table1[[#This Row],[Sales]]&lt;2500),"Did not meet the target","met the target"))</f>
        <v>met the target</v>
      </c>
      <c r="K214">
        <f>Table1[[#This Row],[Sales]]-Table1[[#This Row],[Commission]]</f>
        <v>2841.1662171488415</v>
      </c>
      <c r="L214">
        <f>Table1[[#This Row],[Sales]]+Table1[[#This Row],[Commission]]-Table1[[#This Row],[Revenue]]</f>
        <v>225.66756570231701</v>
      </c>
      <c r="M214">
        <f>Table1[[#This Row],[Revenue]]-Table1[[#This Row],[Cost]]</f>
        <v>2615.4986514465245</v>
      </c>
    </row>
    <row r="215" spans="1:13" x14ac:dyDescent="0.3">
      <c r="A215" s="1">
        <v>45291</v>
      </c>
      <c r="B215">
        <f>YEAR(Table1[[#This Row],[Date]])</f>
        <v>2023</v>
      </c>
      <c r="C215" t="s">
        <v>64</v>
      </c>
      <c r="D215" t="s">
        <v>3</v>
      </c>
      <c r="E215" t="s">
        <v>9</v>
      </c>
      <c r="F215">
        <v>4152</v>
      </c>
      <c r="G215">
        <v>128.597936207863</v>
      </c>
      <c r="H215" t="str">
        <f>VLOOKUP(Table1[[#This Row],[Manager]],Managers!$A$2:$B$9,2,FALSE)</f>
        <v>Russ Geller</v>
      </c>
      <c r="I215" t="str">
        <f>VLOOKUP(Table1[[#This Row],[Product]],Products!$A$2:$B$11,2,FALSE)</f>
        <v>Floor Cheesecake</v>
      </c>
      <c r="J215" t="str">
        <f>IF(Table1[[#This Row],[Sales]]&gt;4000,"Exceeded the target",IF(AND(Table1[[#This Row],[Sales]]&lt;=4000,Table1[[#This Row],[Sales]]&lt;2500),"Did not meet the target","met the target"))</f>
        <v>Exceeded the target</v>
      </c>
      <c r="K215">
        <f>Table1[[#This Row],[Sales]]-Table1[[#This Row],[Commission]]</f>
        <v>4023.4020637921371</v>
      </c>
      <c r="L215">
        <f>Table1[[#This Row],[Sales]]+Table1[[#This Row],[Commission]]-Table1[[#This Row],[Revenue]]</f>
        <v>257.19587241572617</v>
      </c>
      <c r="M215">
        <f>Table1[[#This Row],[Revenue]]-Table1[[#This Row],[Cost]]</f>
        <v>3766.206191376411</v>
      </c>
    </row>
    <row r="216" spans="1:13" x14ac:dyDescent="0.3">
      <c r="A216" s="1">
        <v>45291</v>
      </c>
      <c r="B216">
        <f>YEAR(Table1[[#This Row],[Date]])</f>
        <v>2023</v>
      </c>
      <c r="C216" t="s">
        <v>65</v>
      </c>
      <c r="D216" t="s">
        <v>3</v>
      </c>
      <c r="E216" t="s">
        <v>10</v>
      </c>
      <c r="F216">
        <v>2470</v>
      </c>
      <c r="G216">
        <v>107.9499652529491</v>
      </c>
      <c r="H216" t="str">
        <f>VLOOKUP(Table1[[#This Row],[Manager]],Managers!$A$2:$B$9,2,FALSE)</f>
        <v>Russ Geller</v>
      </c>
      <c r="I216" t="str">
        <f>VLOOKUP(Table1[[#This Row],[Product]],Products!$A$2:$B$11,2,FALSE)</f>
        <v>Mockolate</v>
      </c>
      <c r="J216" t="str">
        <f>IF(Table1[[#This Row],[Sales]]&gt;4000,"Exceeded the target",IF(AND(Table1[[#This Row],[Sales]]&lt;=4000,Table1[[#This Row],[Sales]]&lt;2500),"Did not meet the target","met the target"))</f>
        <v>Did not meet the target</v>
      </c>
      <c r="K216">
        <f>Table1[[#This Row],[Sales]]-Table1[[#This Row],[Commission]]</f>
        <v>2362.0500347470511</v>
      </c>
      <c r="L216">
        <f>Table1[[#This Row],[Sales]]+Table1[[#This Row],[Commission]]-Table1[[#This Row],[Revenue]]</f>
        <v>215.89993050589783</v>
      </c>
      <c r="M216">
        <f>Table1[[#This Row],[Revenue]]-Table1[[#This Row],[Cost]]</f>
        <v>2146.1501042411533</v>
      </c>
    </row>
    <row r="217" spans="1:13" x14ac:dyDescent="0.3">
      <c r="A217" s="1">
        <v>45291</v>
      </c>
      <c r="B217">
        <f>YEAR(Table1[[#This Row],[Date]])</f>
        <v>2023</v>
      </c>
      <c r="C217" t="s">
        <v>66</v>
      </c>
      <c r="D217" t="s">
        <v>3</v>
      </c>
      <c r="E217" t="s">
        <v>8</v>
      </c>
      <c r="F217">
        <v>2278</v>
      </c>
      <c r="G217">
        <v>105.32946437775</v>
      </c>
      <c r="H217" t="str">
        <f>VLOOKUP(Table1[[#This Row],[Manager]],Managers!$A$2:$B$9,2,FALSE)</f>
        <v>Russ Geller</v>
      </c>
      <c r="I217" t="str">
        <f>VLOOKUP(Table1[[#This Row],[Product]],Products!$A$2:$B$11,2,FALSE)</f>
        <v>Traditional English Trifle</v>
      </c>
      <c r="J217" t="str">
        <f>IF(Table1[[#This Row],[Sales]]&gt;4000,"Exceeded the target",IF(AND(Table1[[#This Row],[Sales]]&lt;=4000,Table1[[#This Row],[Sales]]&lt;2500),"Did not meet the target","met the target"))</f>
        <v>Did not meet the target</v>
      </c>
      <c r="K217">
        <f>Table1[[#This Row],[Sales]]-Table1[[#This Row],[Commission]]</f>
        <v>2172.6705356222501</v>
      </c>
      <c r="L217">
        <f>Table1[[#This Row],[Sales]]+Table1[[#This Row],[Commission]]-Table1[[#This Row],[Revenue]]</f>
        <v>210.6589287554998</v>
      </c>
      <c r="M217">
        <f>Table1[[#This Row],[Revenue]]-Table1[[#This Row],[Cost]]</f>
        <v>1962.0116068667503</v>
      </c>
    </row>
    <row r="218" spans="1:13" x14ac:dyDescent="0.3">
      <c r="A218" s="1">
        <v>44957</v>
      </c>
      <c r="B218">
        <f>YEAR(Table1[[#This Row],[Date]])</f>
        <v>2023</v>
      </c>
      <c r="C218" t="s">
        <v>55</v>
      </c>
      <c r="D218" t="s">
        <v>4</v>
      </c>
      <c r="E218" t="s">
        <v>10</v>
      </c>
      <c r="F218">
        <v>3854</v>
      </c>
      <c r="G218">
        <v>221.99425711267961</v>
      </c>
      <c r="H218" t="str">
        <f>VLOOKUP(Table1[[#This Row],[Manager]],Managers!$A$2:$B$9,2,FALSE)</f>
        <v>Monique Bingette</v>
      </c>
      <c r="I218" t="str">
        <f>VLOOKUP(Table1[[#This Row],[Product]],Products!$A$2:$B$11,2,FALSE)</f>
        <v>Mockolate</v>
      </c>
      <c r="J218" t="str">
        <f>IF(Table1[[#This Row],[Sales]]&gt;4000,"Exceeded the target",IF(AND(Table1[[#This Row],[Sales]]&lt;=4000,Table1[[#This Row],[Sales]]&lt;2500),"Did not meet the target","met the target"))</f>
        <v>met the target</v>
      </c>
      <c r="K218">
        <f>Table1[[#This Row],[Sales]]-Table1[[#This Row],[Commission]]</f>
        <v>3632.0057428873206</v>
      </c>
      <c r="L218">
        <f>Table1[[#This Row],[Sales]]+Table1[[#This Row],[Commission]]-Table1[[#This Row],[Revenue]]</f>
        <v>443.98851422535881</v>
      </c>
      <c r="M218">
        <f>Table1[[#This Row],[Revenue]]-Table1[[#This Row],[Cost]]</f>
        <v>3188.0172286619618</v>
      </c>
    </row>
    <row r="219" spans="1:13" x14ac:dyDescent="0.3">
      <c r="A219" s="1">
        <v>44957</v>
      </c>
      <c r="B219">
        <f>YEAR(Table1[[#This Row],[Date]])</f>
        <v>2023</v>
      </c>
      <c r="C219" t="s">
        <v>56</v>
      </c>
      <c r="D219" t="s">
        <v>4</v>
      </c>
      <c r="E219" t="s">
        <v>9</v>
      </c>
      <c r="F219">
        <v>2152</v>
      </c>
      <c r="G219">
        <v>142.38014134091449</v>
      </c>
      <c r="H219" t="str">
        <f>VLOOKUP(Table1[[#This Row],[Manager]],Managers!$A$2:$B$9,2,FALSE)</f>
        <v>Monique Bingette</v>
      </c>
      <c r="I219" t="str">
        <f>VLOOKUP(Table1[[#This Row],[Product]],Products!$A$2:$B$11,2,FALSE)</f>
        <v>Floor Cheesecake</v>
      </c>
      <c r="J219" t="str">
        <f>IF(Table1[[#This Row],[Sales]]&gt;4000,"Exceeded the target",IF(AND(Table1[[#This Row],[Sales]]&lt;=4000,Table1[[#This Row],[Sales]]&lt;2500),"Did not meet the target","met the target"))</f>
        <v>Did not meet the target</v>
      </c>
      <c r="K219">
        <f>Table1[[#This Row],[Sales]]-Table1[[#This Row],[Commission]]</f>
        <v>2009.6198586590856</v>
      </c>
      <c r="L219">
        <f>Table1[[#This Row],[Sales]]+Table1[[#This Row],[Commission]]-Table1[[#This Row],[Revenue]]</f>
        <v>284.76028268182904</v>
      </c>
      <c r="M219">
        <f>Table1[[#This Row],[Revenue]]-Table1[[#This Row],[Cost]]</f>
        <v>1724.8595759772566</v>
      </c>
    </row>
    <row r="220" spans="1:13" x14ac:dyDescent="0.3">
      <c r="A220" s="1">
        <v>44957</v>
      </c>
      <c r="B220">
        <f>YEAR(Table1[[#This Row],[Date]])</f>
        <v>2023</v>
      </c>
      <c r="C220" t="s">
        <v>57</v>
      </c>
      <c r="D220" t="s">
        <v>4</v>
      </c>
      <c r="E220" t="s">
        <v>8</v>
      </c>
      <c r="F220">
        <v>2206</v>
      </c>
      <c r="G220">
        <v>101.3899943870817</v>
      </c>
      <c r="H220" t="str">
        <f>VLOOKUP(Table1[[#This Row],[Manager]],Managers!$A$2:$B$9,2,FALSE)</f>
        <v>Monique Bingette</v>
      </c>
      <c r="I220" t="str">
        <f>VLOOKUP(Table1[[#This Row],[Product]],Products!$A$2:$B$11,2,FALSE)</f>
        <v>Traditional English Trifle</v>
      </c>
      <c r="J220" t="str">
        <f>IF(Table1[[#This Row],[Sales]]&gt;4000,"Exceeded the target",IF(AND(Table1[[#This Row],[Sales]]&lt;=4000,Table1[[#This Row],[Sales]]&lt;2500),"Did not meet the target","met the target"))</f>
        <v>Did not meet the target</v>
      </c>
      <c r="K220">
        <f>Table1[[#This Row],[Sales]]-Table1[[#This Row],[Commission]]</f>
        <v>2104.6100056129185</v>
      </c>
      <c r="L220">
        <f>Table1[[#This Row],[Sales]]+Table1[[#This Row],[Commission]]-Table1[[#This Row],[Revenue]]</f>
        <v>202.77998877416303</v>
      </c>
      <c r="M220">
        <f>Table1[[#This Row],[Revenue]]-Table1[[#This Row],[Cost]]</f>
        <v>1901.8300168387555</v>
      </c>
    </row>
    <row r="221" spans="1:13" x14ac:dyDescent="0.3">
      <c r="A221" s="1">
        <v>44985</v>
      </c>
      <c r="B221">
        <f>YEAR(Table1[[#This Row],[Date]])</f>
        <v>2023</v>
      </c>
      <c r="C221" t="s">
        <v>58</v>
      </c>
      <c r="D221" t="s">
        <v>4</v>
      </c>
      <c r="E221" t="s">
        <v>8</v>
      </c>
      <c r="F221">
        <v>4587</v>
      </c>
      <c r="G221">
        <v>312.25992900927042</v>
      </c>
      <c r="H221" t="str">
        <f>VLOOKUP(Table1[[#This Row],[Manager]],Managers!$A$2:$B$9,2,FALSE)</f>
        <v>Monique Bingette</v>
      </c>
      <c r="I221" t="str">
        <f>VLOOKUP(Table1[[#This Row],[Product]],Products!$A$2:$B$11,2,FALSE)</f>
        <v>Traditional English Trifle</v>
      </c>
      <c r="J221" t="str">
        <f>IF(Table1[[#This Row],[Sales]]&gt;4000,"Exceeded the target",IF(AND(Table1[[#This Row],[Sales]]&lt;=4000,Table1[[#This Row],[Sales]]&lt;2500),"Did not meet the target","met the target"))</f>
        <v>Exceeded the target</v>
      </c>
      <c r="K221">
        <f>Table1[[#This Row],[Sales]]-Table1[[#This Row],[Commission]]</f>
        <v>4274.7400709907297</v>
      </c>
      <c r="L221">
        <f>Table1[[#This Row],[Sales]]+Table1[[#This Row],[Commission]]-Table1[[#This Row],[Revenue]]</f>
        <v>624.51985801854062</v>
      </c>
      <c r="M221">
        <f>Table1[[#This Row],[Revenue]]-Table1[[#This Row],[Cost]]</f>
        <v>3650.2202129721891</v>
      </c>
    </row>
    <row r="222" spans="1:13" x14ac:dyDescent="0.3">
      <c r="A222" s="1">
        <v>44985</v>
      </c>
      <c r="B222">
        <f>YEAR(Table1[[#This Row],[Date]])</f>
        <v>2023</v>
      </c>
      <c r="C222" t="s">
        <v>59</v>
      </c>
      <c r="D222" t="s">
        <v>4</v>
      </c>
      <c r="E222" t="s">
        <v>10</v>
      </c>
      <c r="F222">
        <v>4298</v>
      </c>
      <c r="G222">
        <v>270.04628339097007</v>
      </c>
      <c r="H222" t="str">
        <f>VLOOKUP(Table1[[#This Row],[Manager]],Managers!$A$2:$B$9,2,FALSE)</f>
        <v>Monique Bingette</v>
      </c>
      <c r="I222" t="str">
        <f>VLOOKUP(Table1[[#This Row],[Product]],Products!$A$2:$B$11,2,FALSE)</f>
        <v>Mockolate</v>
      </c>
      <c r="J222" t="str">
        <f>IF(Table1[[#This Row],[Sales]]&gt;4000,"Exceeded the target",IF(AND(Table1[[#This Row],[Sales]]&lt;=4000,Table1[[#This Row],[Sales]]&lt;2500),"Did not meet the target","met the target"))</f>
        <v>Exceeded the target</v>
      </c>
      <c r="K222">
        <f>Table1[[#This Row],[Sales]]-Table1[[#This Row],[Commission]]</f>
        <v>4027.9537166090299</v>
      </c>
      <c r="L222">
        <f>Table1[[#This Row],[Sales]]+Table1[[#This Row],[Commission]]-Table1[[#This Row],[Revenue]]</f>
        <v>540.09256678193969</v>
      </c>
      <c r="M222">
        <f>Table1[[#This Row],[Revenue]]-Table1[[#This Row],[Cost]]</f>
        <v>3487.8611498270902</v>
      </c>
    </row>
    <row r="223" spans="1:13" x14ac:dyDescent="0.3">
      <c r="A223" s="1">
        <v>44985</v>
      </c>
      <c r="B223">
        <f>YEAR(Table1[[#This Row],[Date]])</f>
        <v>2023</v>
      </c>
      <c r="C223" t="s">
        <v>60</v>
      </c>
      <c r="D223" t="s">
        <v>4</v>
      </c>
      <c r="E223" t="s">
        <v>9</v>
      </c>
      <c r="F223">
        <v>1094</v>
      </c>
      <c r="G223">
        <v>58.014870851083622</v>
      </c>
      <c r="H223" t="str">
        <f>VLOOKUP(Table1[[#This Row],[Manager]],Managers!$A$2:$B$9,2,FALSE)</f>
        <v>Monique Bingette</v>
      </c>
      <c r="I223" t="str">
        <f>VLOOKUP(Table1[[#This Row],[Product]],Products!$A$2:$B$11,2,FALSE)</f>
        <v>Floor Cheesecake</v>
      </c>
      <c r="J223" t="str">
        <f>IF(Table1[[#This Row],[Sales]]&gt;4000,"Exceeded the target",IF(AND(Table1[[#This Row],[Sales]]&lt;=4000,Table1[[#This Row],[Sales]]&lt;2500),"Did not meet the target","met the target"))</f>
        <v>Did not meet the target</v>
      </c>
      <c r="K223">
        <f>Table1[[#This Row],[Sales]]-Table1[[#This Row],[Commission]]</f>
        <v>1035.9851291489165</v>
      </c>
      <c r="L223">
        <f>Table1[[#This Row],[Sales]]+Table1[[#This Row],[Commission]]-Table1[[#This Row],[Revenue]]</f>
        <v>116.02974170216703</v>
      </c>
      <c r="M223">
        <f>Table1[[#This Row],[Revenue]]-Table1[[#This Row],[Cost]]</f>
        <v>919.95538744674946</v>
      </c>
    </row>
    <row r="224" spans="1:13" x14ac:dyDescent="0.3">
      <c r="A224" s="1">
        <v>45016</v>
      </c>
      <c r="B224">
        <f>YEAR(Table1[[#This Row],[Date]])</f>
        <v>2023</v>
      </c>
      <c r="C224" t="s">
        <v>61</v>
      </c>
      <c r="D224" t="s">
        <v>4</v>
      </c>
      <c r="E224" t="s">
        <v>10</v>
      </c>
      <c r="F224">
        <v>4901</v>
      </c>
      <c r="G224">
        <v>183.3429450393015</v>
      </c>
      <c r="H224" t="str">
        <f>VLOOKUP(Table1[[#This Row],[Manager]],Managers!$A$2:$B$9,2,FALSE)</f>
        <v>Monique Bingette</v>
      </c>
      <c r="I224" t="str">
        <f>VLOOKUP(Table1[[#This Row],[Product]],Products!$A$2:$B$11,2,FALSE)</f>
        <v>Mockolate</v>
      </c>
      <c r="J224" t="str">
        <f>IF(Table1[[#This Row],[Sales]]&gt;4000,"Exceeded the target",IF(AND(Table1[[#This Row],[Sales]]&lt;=4000,Table1[[#This Row],[Sales]]&lt;2500),"Did not meet the target","met the target"))</f>
        <v>Exceeded the target</v>
      </c>
      <c r="K224">
        <f>Table1[[#This Row],[Sales]]-Table1[[#This Row],[Commission]]</f>
        <v>4717.6570549606986</v>
      </c>
      <c r="L224">
        <f>Table1[[#This Row],[Sales]]+Table1[[#This Row],[Commission]]-Table1[[#This Row],[Revenue]]</f>
        <v>366.68589007860282</v>
      </c>
      <c r="M224">
        <f>Table1[[#This Row],[Revenue]]-Table1[[#This Row],[Cost]]</f>
        <v>4350.9711648820958</v>
      </c>
    </row>
    <row r="225" spans="1:13" x14ac:dyDescent="0.3">
      <c r="A225" s="1">
        <v>45016</v>
      </c>
      <c r="B225">
        <f>YEAR(Table1[[#This Row],[Date]])</f>
        <v>2023</v>
      </c>
      <c r="C225" t="s">
        <v>62</v>
      </c>
      <c r="D225" t="s">
        <v>4</v>
      </c>
      <c r="E225" t="s">
        <v>8</v>
      </c>
      <c r="F225">
        <v>3371</v>
      </c>
      <c r="G225">
        <v>149.22835710187891</v>
      </c>
      <c r="H225" t="str">
        <f>VLOOKUP(Table1[[#This Row],[Manager]],Managers!$A$2:$B$9,2,FALSE)</f>
        <v>Monique Bingette</v>
      </c>
      <c r="I225" t="str">
        <f>VLOOKUP(Table1[[#This Row],[Product]],Products!$A$2:$B$11,2,FALSE)</f>
        <v>Traditional English Trifle</v>
      </c>
      <c r="J225" t="str">
        <f>IF(Table1[[#This Row],[Sales]]&gt;4000,"Exceeded the target",IF(AND(Table1[[#This Row],[Sales]]&lt;=4000,Table1[[#This Row],[Sales]]&lt;2500),"Did not meet the target","met the target"))</f>
        <v>met the target</v>
      </c>
      <c r="K225">
        <f>Table1[[#This Row],[Sales]]-Table1[[#This Row],[Commission]]</f>
        <v>3221.7716428981212</v>
      </c>
      <c r="L225">
        <f>Table1[[#This Row],[Sales]]+Table1[[#This Row],[Commission]]-Table1[[#This Row],[Revenue]]</f>
        <v>298.45671420375766</v>
      </c>
      <c r="M225">
        <f>Table1[[#This Row],[Revenue]]-Table1[[#This Row],[Cost]]</f>
        <v>2923.3149286943635</v>
      </c>
    </row>
    <row r="226" spans="1:13" x14ac:dyDescent="0.3">
      <c r="A226" s="1">
        <v>45016</v>
      </c>
      <c r="B226">
        <f>YEAR(Table1[[#This Row],[Date]])</f>
        <v>2023</v>
      </c>
      <c r="C226" t="s">
        <v>63</v>
      </c>
      <c r="D226" t="s">
        <v>4</v>
      </c>
      <c r="E226" t="s">
        <v>9</v>
      </c>
      <c r="F226">
        <v>4052</v>
      </c>
      <c r="G226">
        <v>124.2065237149754</v>
      </c>
      <c r="H226" t="str">
        <f>VLOOKUP(Table1[[#This Row],[Manager]],Managers!$A$2:$B$9,2,FALSE)</f>
        <v>Monique Bingette</v>
      </c>
      <c r="I226" t="str">
        <f>VLOOKUP(Table1[[#This Row],[Product]],Products!$A$2:$B$11,2,FALSE)</f>
        <v>Floor Cheesecake</v>
      </c>
      <c r="J226" t="str">
        <f>IF(Table1[[#This Row],[Sales]]&gt;4000,"Exceeded the target",IF(AND(Table1[[#This Row],[Sales]]&lt;=4000,Table1[[#This Row],[Sales]]&lt;2500),"Did not meet the target","met the target"))</f>
        <v>Exceeded the target</v>
      </c>
      <c r="K226">
        <f>Table1[[#This Row],[Sales]]-Table1[[#This Row],[Commission]]</f>
        <v>3927.7934762850246</v>
      </c>
      <c r="L226">
        <f>Table1[[#This Row],[Sales]]+Table1[[#This Row],[Commission]]-Table1[[#This Row],[Revenue]]</f>
        <v>248.41304742995089</v>
      </c>
      <c r="M226">
        <f>Table1[[#This Row],[Revenue]]-Table1[[#This Row],[Cost]]</f>
        <v>3679.3804288550737</v>
      </c>
    </row>
    <row r="227" spans="1:13" x14ac:dyDescent="0.3">
      <c r="A227" s="1">
        <v>45046</v>
      </c>
      <c r="B227">
        <f>YEAR(Table1[[#This Row],[Date]])</f>
        <v>2023</v>
      </c>
      <c r="C227" t="s">
        <v>64</v>
      </c>
      <c r="D227" t="s">
        <v>4</v>
      </c>
      <c r="E227" t="s">
        <v>9</v>
      </c>
      <c r="F227">
        <v>4224</v>
      </c>
      <c r="G227">
        <v>169.28794937405979</v>
      </c>
      <c r="H227" t="str">
        <f>VLOOKUP(Table1[[#This Row],[Manager]],Managers!$A$2:$B$9,2,FALSE)</f>
        <v>Monique Bingette</v>
      </c>
      <c r="I227" t="str">
        <f>VLOOKUP(Table1[[#This Row],[Product]],Products!$A$2:$B$11,2,FALSE)</f>
        <v>Floor Cheesecake</v>
      </c>
      <c r="J227" t="str">
        <f>IF(Table1[[#This Row],[Sales]]&gt;4000,"Exceeded the target",IF(AND(Table1[[#This Row],[Sales]]&lt;=4000,Table1[[#This Row],[Sales]]&lt;2500),"Did not meet the target","met the target"))</f>
        <v>Exceeded the target</v>
      </c>
      <c r="K227">
        <f>Table1[[#This Row],[Sales]]-Table1[[#This Row],[Commission]]</f>
        <v>4054.7120506259403</v>
      </c>
      <c r="L227">
        <f>Table1[[#This Row],[Sales]]+Table1[[#This Row],[Commission]]-Table1[[#This Row],[Revenue]]</f>
        <v>338.57589874811993</v>
      </c>
      <c r="M227">
        <f>Table1[[#This Row],[Revenue]]-Table1[[#This Row],[Cost]]</f>
        <v>3716.1361518778203</v>
      </c>
    </row>
    <row r="228" spans="1:13" x14ac:dyDescent="0.3">
      <c r="A228" s="1">
        <v>45046</v>
      </c>
      <c r="B228">
        <f>YEAR(Table1[[#This Row],[Date]])</f>
        <v>2023</v>
      </c>
      <c r="C228" t="s">
        <v>65</v>
      </c>
      <c r="D228" t="s">
        <v>4</v>
      </c>
      <c r="E228" t="s">
        <v>8</v>
      </c>
      <c r="F228">
        <v>2552</v>
      </c>
      <c r="G228">
        <v>83.509001471339431</v>
      </c>
      <c r="H228" t="str">
        <f>VLOOKUP(Table1[[#This Row],[Manager]],Managers!$A$2:$B$9,2,FALSE)</f>
        <v>Monique Bingette</v>
      </c>
      <c r="I228" t="str">
        <f>VLOOKUP(Table1[[#This Row],[Product]],Products!$A$2:$B$11,2,FALSE)</f>
        <v>Traditional English Trifle</v>
      </c>
      <c r="J228" t="str">
        <f>IF(Table1[[#This Row],[Sales]]&gt;4000,"Exceeded the target",IF(AND(Table1[[#This Row],[Sales]]&lt;=4000,Table1[[#This Row],[Sales]]&lt;2500),"Did not meet the target","met the target"))</f>
        <v>met the target</v>
      </c>
      <c r="K228">
        <f>Table1[[#This Row],[Sales]]-Table1[[#This Row],[Commission]]</f>
        <v>2468.4909985286604</v>
      </c>
      <c r="L228">
        <f>Table1[[#This Row],[Sales]]+Table1[[#This Row],[Commission]]-Table1[[#This Row],[Revenue]]</f>
        <v>167.01800294267923</v>
      </c>
      <c r="M228">
        <f>Table1[[#This Row],[Revenue]]-Table1[[#This Row],[Cost]]</f>
        <v>2301.4729955859812</v>
      </c>
    </row>
    <row r="229" spans="1:13" x14ac:dyDescent="0.3">
      <c r="A229" s="1">
        <v>45046</v>
      </c>
      <c r="B229">
        <f>YEAR(Table1[[#This Row],[Date]])</f>
        <v>2023</v>
      </c>
      <c r="C229" t="s">
        <v>66</v>
      </c>
      <c r="D229" t="s">
        <v>4</v>
      </c>
      <c r="E229" t="s">
        <v>10</v>
      </c>
      <c r="F229">
        <v>1925</v>
      </c>
      <c r="G229">
        <v>74.779390481648463</v>
      </c>
      <c r="H229" t="str">
        <f>VLOOKUP(Table1[[#This Row],[Manager]],Managers!$A$2:$B$9,2,FALSE)</f>
        <v>Monique Bingette</v>
      </c>
      <c r="I229" t="str">
        <f>VLOOKUP(Table1[[#This Row],[Product]],Products!$A$2:$B$11,2,FALSE)</f>
        <v>Mockolate</v>
      </c>
      <c r="J229" t="str">
        <f>IF(Table1[[#This Row],[Sales]]&gt;4000,"Exceeded the target",IF(AND(Table1[[#This Row],[Sales]]&lt;=4000,Table1[[#This Row],[Sales]]&lt;2500),"Did not meet the target","met the target"))</f>
        <v>Did not meet the target</v>
      </c>
      <c r="K229">
        <f>Table1[[#This Row],[Sales]]-Table1[[#This Row],[Commission]]</f>
        <v>1850.2206095183515</v>
      </c>
      <c r="L229">
        <f>Table1[[#This Row],[Sales]]+Table1[[#This Row],[Commission]]-Table1[[#This Row],[Revenue]]</f>
        <v>149.55878096329707</v>
      </c>
      <c r="M229">
        <f>Table1[[#This Row],[Revenue]]-Table1[[#This Row],[Cost]]</f>
        <v>1700.6618285550544</v>
      </c>
    </row>
    <row r="230" spans="1:13" x14ac:dyDescent="0.3">
      <c r="A230" s="1">
        <v>45077</v>
      </c>
      <c r="B230">
        <f>YEAR(Table1[[#This Row],[Date]])</f>
        <v>2023</v>
      </c>
      <c r="C230" t="s">
        <v>55</v>
      </c>
      <c r="D230" t="s">
        <v>4</v>
      </c>
      <c r="E230" t="s">
        <v>9</v>
      </c>
      <c r="F230">
        <v>4300</v>
      </c>
      <c r="G230">
        <v>263.71632338997591</v>
      </c>
      <c r="H230" t="str">
        <f>VLOOKUP(Table1[[#This Row],[Manager]],Managers!$A$2:$B$9,2,FALSE)</f>
        <v>Monique Bingette</v>
      </c>
      <c r="I230" t="str">
        <f>VLOOKUP(Table1[[#This Row],[Product]],Products!$A$2:$B$11,2,FALSE)</f>
        <v>Floor Cheesecake</v>
      </c>
      <c r="J230" t="str">
        <f>IF(Table1[[#This Row],[Sales]]&gt;4000,"Exceeded the target",IF(AND(Table1[[#This Row],[Sales]]&lt;=4000,Table1[[#This Row],[Sales]]&lt;2500),"Did not meet the target","met the target"))</f>
        <v>Exceeded the target</v>
      </c>
      <c r="K230">
        <f>Table1[[#This Row],[Sales]]-Table1[[#This Row],[Commission]]</f>
        <v>4036.283676610024</v>
      </c>
      <c r="L230">
        <f>Table1[[#This Row],[Sales]]+Table1[[#This Row],[Commission]]-Table1[[#This Row],[Revenue]]</f>
        <v>527.43264677995148</v>
      </c>
      <c r="M230">
        <f>Table1[[#This Row],[Revenue]]-Table1[[#This Row],[Cost]]</f>
        <v>3508.8510298300725</v>
      </c>
    </row>
    <row r="231" spans="1:13" x14ac:dyDescent="0.3">
      <c r="A231" s="1">
        <v>45077</v>
      </c>
      <c r="B231">
        <f>YEAR(Table1[[#This Row],[Date]])</f>
        <v>2023</v>
      </c>
      <c r="C231" t="s">
        <v>56</v>
      </c>
      <c r="D231" t="s">
        <v>4</v>
      </c>
      <c r="E231" t="s">
        <v>10</v>
      </c>
      <c r="F231">
        <v>2531</v>
      </c>
      <c r="G231">
        <v>105.1274638698405</v>
      </c>
      <c r="H231" t="str">
        <f>VLOOKUP(Table1[[#This Row],[Manager]],Managers!$A$2:$B$9,2,FALSE)</f>
        <v>Monique Bingette</v>
      </c>
      <c r="I231" t="str">
        <f>VLOOKUP(Table1[[#This Row],[Product]],Products!$A$2:$B$11,2,FALSE)</f>
        <v>Mockolate</v>
      </c>
      <c r="J231" t="str">
        <f>IF(Table1[[#This Row],[Sales]]&gt;4000,"Exceeded the target",IF(AND(Table1[[#This Row],[Sales]]&lt;=4000,Table1[[#This Row],[Sales]]&lt;2500),"Did not meet the target","met the target"))</f>
        <v>met the target</v>
      </c>
      <c r="K231">
        <f>Table1[[#This Row],[Sales]]-Table1[[#This Row],[Commission]]</f>
        <v>2425.8725361301595</v>
      </c>
      <c r="L231">
        <f>Table1[[#This Row],[Sales]]+Table1[[#This Row],[Commission]]-Table1[[#This Row],[Revenue]]</f>
        <v>210.25492773968108</v>
      </c>
      <c r="M231">
        <f>Table1[[#This Row],[Revenue]]-Table1[[#This Row],[Cost]]</f>
        <v>2215.6176083904784</v>
      </c>
    </row>
    <row r="232" spans="1:13" x14ac:dyDescent="0.3">
      <c r="A232" s="1">
        <v>45077</v>
      </c>
      <c r="B232">
        <f>YEAR(Table1[[#This Row],[Date]])</f>
        <v>2023</v>
      </c>
      <c r="C232" t="s">
        <v>57</v>
      </c>
      <c r="D232" t="s">
        <v>4</v>
      </c>
      <c r="E232" t="s">
        <v>8</v>
      </c>
      <c r="F232">
        <v>1928</v>
      </c>
      <c r="G232">
        <v>62.876260455545292</v>
      </c>
      <c r="H232" t="str">
        <f>VLOOKUP(Table1[[#This Row],[Manager]],Managers!$A$2:$B$9,2,FALSE)</f>
        <v>Monique Bingette</v>
      </c>
      <c r="I232" t="str">
        <f>VLOOKUP(Table1[[#This Row],[Product]],Products!$A$2:$B$11,2,FALSE)</f>
        <v>Traditional English Trifle</v>
      </c>
      <c r="J232" t="str">
        <f>IF(Table1[[#This Row],[Sales]]&gt;4000,"Exceeded the target",IF(AND(Table1[[#This Row],[Sales]]&lt;=4000,Table1[[#This Row],[Sales]]&lt;2500),"Did not meet the target","met the target"))</f>
        <v>Did not meet the target</v>
      </c>
      <c r="K232">
        <f>Table1[[#This Row],[Sales]]-Table1[[#This Row],[Commission]]</f>
        <v>1865.1237395444548</v>
      </c>
      <c r="L232">
        <f>Table1[[#This Row],[Sales]]+Table1[[#This Row],[Commission]]-Table1[[#This Row],[Revenue]]</f>
        <v>125.75252091109041</v>
      </c>
      <c r="M232">
        <f>Table1[[#This Row],[Revenue]]-Table1[[#This Row],[Cost]]</f>
        <v>1739.3712186333644</v>
      </c>
    </row>
    <row r="233" spans="1:13" x14ac:dyDescent="0.3">
      <c r="A233" s="1">
        <v>45107</v>
      </c>
      <c r="B233">
        <f>YEAR(Table1[[#This Row],[Date]])</f>
        <v>2023</v>
      </c>
      <c r="C233" t="s">
        <v>58</v>
      </c>
      <c r="D233" t="s">
        <v>4</v>
      </c>
      <c r="E233" t="s">
        <v>8</v>
      </c>
      <c r="F233">
        <v>4624</v>
      </c>
      <c r="G233">
        <v>309.80188003486239</v>
      </c>
      <c r="H233" t="str">
        <f>VLOOKUP(Table1[[#This Row],[Manager]],Managers!$A$2:$B$9,2,FALSE)</f>
        <v>Monique Bingette</v>
      </c>
      <c r="I233" t="str">
        <f>VLOOKUP(Table1[[#This Row],[Product]],Products!$A$2:$B$11,2,FALSE)</f>
        <v>Traditional English Trifle</v>
      </c>
      <c r="J233" t="str">
        <f>IF(Table1[[#This Row],[Sales]]&gt;4000,"Exceeded the target",IF(AND(Table1[[#This Row],[Sales]]&lt;=4000,Table1[[#This Row],[Sales]]&lt;2500),"Did not meet the target","met the target"))</f>
        <v>Exceeded the target</v>
      </c>
      <c r="K233">
        <f>Table1[[#This Row],[Sales]]-Table1[[#This Row],[Commission]]</f>
        <v>4314.1981199651373</v>
      </c>
      <c r="L233">
        <f>Table1[[#This Row],[Sales]]+Table1[[#This Row],[Commission]]-Table1[[#This Row],[Revenue]]</f>
        <v>619.60376006972547</v>
      </c>
      <c r="M233">
        <f>Table1[[#This Row],[Revenue]]-Table1[[#This Row],[Cost]]</f>
        <v>3694.5943598954118</v>
      </c>
    </row>
    <row r="234" spans="1:13" x14ac:dyDescent="0.3">
      <c r="A234" s="1">
        <v>45107</v>
      </c>
      <c r="B234">
        <f>YEAR(Table1[[#This Row],[Date]])</f>
        <v>2023</v>
      </c>
      <c r="C234" t="s">
        <v>59</v>
      </c>
      <c r="D234" t="s">
        <v>4</v>
      </c>
      <c r="E234" t="s">
        <v>9</v>
      </c>
      <c r="F234">
        <v>4510</v>
      </c>
      <c r="G234">
        <v>143.59971888406841</v>
      </c>
      <c r="H234" t="str">
        <f>VLOOKUP(Table1[[#This Row],[Manager]],Managers!$A$2:$B$9,2,FALSE)</f>
        <v>Monique Bingette</v>
      </c>
      <c r="I234" t="str">
        <f>VLOOKUP(Table1[[#This Row],[Product]],Products!$A$2:$B$11,2,FALSE)</f>
        <v>Floor Cheesecake</v>
      </c>
      <c r="J234" t="str">
        <f>IF(Table1[[#This Row],[Sales]]&gt;4000,"Exceeded the target",IF(AND(Table1[[#This Row],[Sales]]&lt;=4000,Table1[[#This Row],[Sales]]&lt;2500),"Did not meet the target","met the target"))</f>
        <v>Exceeded the target</v>
      </c>
      <c r="K234">
        <f>Table1[[#This Row],[Sales]]-Table1[[#This Row],[Commission]]</f>
        <v>4366.4002811159316</v>
      </c>
      <c r="L234">
        <f>Table1[[#This Row],[Sales]]+Table1[[#This Row],[Commission]]-Table1[[#This Row],[Revenue]]</f>
        <v>287.1994377681367</v>
      </c>
      <c r="M234">
        <f>Table1[[#This Row],[Revenue]]-Table1[[#This Row],[Cost]]</f>
        <v>4079.2008433477949</v>
      </c>
    </row>
    <row r="235" spans="1:13" x14ac:dyDescent="0.3">
      <c r="A235" s="1">
        <v>45107</v>
      </c>
      <c r="B235">
        <f>YEAR(Table1[[#This Row],[Date]])</f>
        <v>2023</v>
      </c>
      <c r="C235" t="s">
        <v>60</v>
      </c>
      <c r="D235" t="s">
        <v>4</v>
      </c>
      <c r="E235" t="s">
        <v>10</v>
      </c>
      <c r="F235">
        <v>1207</v>
      </c>
      <c r="G235">
        <v>47.441231213821077</v>
      </c>
      <c r="H235" t="str">
        <f>VLOOKUP(Table1[[#This Row],[Manager]],Managers!$A$2:$B$9,2,FALSE)</f>
        <v>Monique Bingette</v>
      </c>
      <c r="I235" t="str">
        <f>VLOOKUP(Table1[[#This Row],[Product]],Products!$A$2:$B$11,2,FALSE)</f>
        <v>Mockolate</v>
      </c>
      <c r="J235" t="str">
        <f>IF(Table1[[#This Row],[Sales]]&gt;4000,"Exceeded the target",IF(AND(Table1[[#This Row],[Sales]]&lt;=4000,Table1[[#This Row],[Sales]]&lt;2500),"Did not meet the target","met the target"))</f>
        <v>Did not meet the target</v>
      </c>
      <c r="K235">
        <f>Table1[[#This Row],[Sales]]-Table1[[#This Row],[Commission]]</f>
        <v>1159.5587687861789</v>
      </c>
      <c r="L235">
        <f>Table1[[#This Row],[Sales]]+Table1[[#This Row],[Commission]]-Table1[[#This Row],[Revenue]]</f>
        <v>94.882462427642167</v>
      </c>
      <c r="M235">
        <f>Table1[[#This Row],[Revenue]]-Table1[[#This Row],[Cost]]</f>
        <v>1064.6763063585367</v>
      </c>
    </row>
    <row r="236" spans="1:13" x14ac:dyDescent="0.3">
      <c r="A236" s="1">
        <v>45138</v>
      </c>
      <c r="B236">
        <f>YEAR(Table1[[#This Row],[Date]])</f>
        <v>2023</v>
      </c>
      <c r="C236" t="s">
        <v>61</v>
      </c>
      <c r="D236" t="s">
        <v>4</v>
      </c>
      <c r="E236" t="s">
        <v>10</v>
      </c>
      <c r="F236">
        <v>4843</v>
      </c>
      <c r="G236">
        <v>316.09683953331142</v>
      </c>
      <c r="H236" t="str">
        <f>VLOOKUP(Table1[[#This Row],[Manager]],Managers!$A$2:$B$9,2,FALSE)</f>
        <v>Monique Bingette</v>
      </c>
      <c r="I236" t="str">
        <f>VLOOKUP(Table1[[#This Row],[Product]],Products!$A$2:$B$11,2,FALSE)</f>
        <v>Mockolate</v>
      </c>
      <c r="J236" t="str">
        <f>IF(Table1[[#This Row],[Sales]]&gt;4000,"Exceeded the target",IF(AND(Table1[[#This Row],[Sales]]&lt;=4000,Table1[[#This Row],[Sales]]&lt;2500),"Did not meet the target","met the target"))</f>
        <v>Exceeded the target</v>
      </c>
      <c r="K236">
        <f>Table1[[#This Row],[Sales]]-Table1[[#This Row],[Commission]]</f>
        <v>4526.9031604666889</v>
      </c>
      <c r="L236">
        <f>Table1[[#This Row],[Sales]]+Table1[[#This Row],[Commission]]-Table1[[#This Row],[Revenue]]</f>
        <v>632.19367906662228</v>
      </c>
      <c r="M236">
        <f>Table1[[#This Row],[Revenue]]-Table1[[#This Row],[Cost]]</f>
        <v>3894.7094814000666</v>
      </c>
    </row>
    <row r="237" spans="1:13" x14ac:dyDescent="0.3">
      <c r="A237" s="1">
        <v>45138</v>
      </c>
      <c r="B237">
        <f>YEAR(Table1[[#This Row],[Date]])</f>
        <v>2023</v>
      </c>
      <c r="C237" t="s">
        <v>62</v>
      </c>
      <c r="D237" t="s">
        <v>4</v>
      </c>
      <c r="E237" t="s">
        <v>8</v>
      </c>
      <c r="F237">
        <v>4026</v>
      </c>
      <c r="G237">
        <v>130.177708050234</v>
      </c>
      <c r="H237" t="str">
        <f>VLOOKUP(Table1[[#This Row],[Manager]],Managers!$A$2:$B$9,2,FALSE)</f>
        <v>Monique Bingette</v>
      </c>
      <c r="I237" t="str">
        <f>VLOOKUP(Table1[[#This Row],[Product]],Products!$A$2:$B$11,2,FALSE)</f>
        <v>Traditional English Trifle</v>
      </c>
      <c r="J237" t="str">
        <f>IF(Table1[[#This Row],[Sales]]&gt;4000,"Exceeded the target",IF(AND(Table1[[#This Row],[Sales]]&lt;=4000,Table1[[#This Row],[Sales]]&lt;2500),"Did not meet the target","met the target"))</f>
        <v>Exceeded the target</v>
      </c>
      <c r="K237">
        <f>Table1[[#This Row],[Sales]]-Table1[[#This Row],[Commission]]</f>
        <v>3895.8222919497662</v>
      </c>
      <c r="L237">
        <f>Table1[[#This Row],[Sales]]+Table1[[#This Row],[Commission]]-Table1[[#This Row],[Revenue]]</f>
        <v>260.35541610046812</v>
      </c>
      <c r="M237">
        <f>Table1[[#This Row],[Revenue]]-Table1[[#This Row],[Cost]]</f>
        <v>3635.466875849298</v>
      </c>
    </row>
    <row r="238" spans="1:13" x14ac:dyDescent="0.3">
      <c r="A238" s="1">
        <v>45138</v>
      </c>
      <c r="B238">
        <f>YEAR(Table1[[#This Row],[Date]])</f>
        <v>2023</v>
      </c>
      <c r="C238" t="s">
        <v>63</v>
      </c>
      <c r="D238" t="s">
        <v>4</v>
      </c>
      <c r="E238" t="s">
        <v>9</v>
      </c>
      <c r="F238">
        <v>2007</v>
      </c>
      <c r="G238">
        <v>118.8713264779538</v>
      </c>
      <c r="H238" t="str">
        <f>VLOOKUP(Table1[[#This Row],[Manager]],Managers!$A$2:$B$9,2,FALSE)</f>
        <v>Monique Bingette</v>
      </c>
      <c r="I238" t="str">
        <f>VLOOKUP(Table1[[#This Row],[Product]],Products!$A$2:$B$11,2,FALSE)</f>
        <v>Floor Cheesecake</v>
      </c>
      <c r="J238" t="str">
        <f>IF(Table1[[#This Row],[Sales]]&gt;4000,"Exceeded the target",IF(AND(Table1[[#This Row],[Sales]]&lt;=4000,Table1[[#This Row],[Sales]]&lt;2500),"Did not meet the target","met the target"))</f>
        <v>Did not meet the target</v>
      </c>
      <c r="K238">
        <f>Table1[[#This Row],[Sales]]-Table1[[#This Row],[Commission]]</f>
        <v>1888.1286735220463</v>
      </c>
      <c r="L238">
        <f>Table1[[#This Row],[Sales]]+Table1[[#This Row],[Commission]]-Table1[[#This Row],[Revenue]]</f>
        <v>237.74265295590772</v>
      </c>
      <c r="M238">
        <f>Table1[[#This Row],[Revenue]]-Table1[[#This Row],[Cost]]</f>
        <v>1650.3860205661385</v>
      </c>
    </row>
    <row r="239" spans="1:13" x14ac:dyDescent="0.3">
      <c r="A239" s="1">
        <v>45169</v>
      </c>
      <c r="B239">
        <f>YEAR(Table1[[#This Row],[Date]])</f>
        <v>2023</v>
      </c>
      <c r="C239" t="s">
        <v>64</v>
      </c>
      <c r="D239" t="s">
        <v>4</v>
      </c>
      <c r="E239" t="s">
        <v>9</v>
      </c>
      <c r="F239">
        <v>3260</v>
      </c>
      <c r="G239">
        <v>210.89453847230541</v>
      </c>
      <c r="H239" t="str">
        <f>VLOOKUP(Table1[[#This Row],[Manager]],Managers!$A$2:$B$9,2,FALSE)</f>
        <v>Monique Bingette</v>
      </c>
      <c r="I239" t="str">
        <f>VLOOKUP(Table1[[#This Row],[Product]],Products!$A$2:$B$11,2,FALSE)</f>
        <v>Floor Cheesecake</v>
      </c>
      <c r="J239" t="str">
        <f>IF(Table1[[#This Row],[Sales]]&gt;4000,"Exceeded the target",IF(AND(Table1[[#This Row],[Sales]]&lt;=4000,Table1[[#This Row],[Sales]]&lt;2500),"Did not meet the target","met the target"))</f>
        <v>met the target</v>
      </c>
      <c r="K239">
        <f>Table1[[#This Row],[Sales]]-Table1[[#This Row],[Commission]]</f>
        <v>3049.1054615276944</v>
      </c>
      <c r="L239">
        <f>Table1[[#This Row],[Sales]]+Table1[[#This Row],[Commission]]-Table1[[#This Row],[Revenue]]</f>
        <v>421.78907694461122</v>
      </c>
      <c r="M239">
        <f>Table1[[#This Row],[Revenue]]-Table1[[#This Row],[Cost]]</f>
        <v>2627.3163845830832</v>
      </c>
    </row>
    <row r="240" spans="1:13" x14ac:dyDescent="0.3">
      <c r="A240" s="1">
        <v>45169</v>
      </c>
      <c r="B240">
        <f>YEAR(Table1[[#This Row],[Date]])</f>
        <v>2023</v>
      </c>
      <c r="C240" t="s">
        <v>65</v>
      </c>
      <c r="D240" t="s">
        <v>4</v>
      </c>
      <c r="E240" t="s">
        <v>10</v>
      </c>
      <c r="F240">
        <v>2162</v>
      </c>
      <c r="G240">
        <v>146.16933393540029</v>
      </c>
      <c r="H240" t="str">
        <f>VLOOKUP(Table1[[#This Row],[Manager]],Managers!$A$2:$B$9,2,FALSE)</f>
        <v>Monique Bingette</v>
      </c>
      <c r="I240" t="str">
        <f>VLOOKUP(Table1[[#This Row],[Product]],Products!$A$2:$B$11,2,FALSE)</f>
        <v>Mockolate</v>
      </c>
      <c r="J240" t="str">
        <f>IF(Table1[[#This Row],[Sales]]&gt;4000,"Exceeded the target",IF(AND(Table1[[#This Row],[Sales]]&lt;=4000,Table1[[#This Row],[Sales]]&lt;2500),"Did not meet the target","met the target"))</f>
        <v>Did not meet the target</v>
      </c>
      <c r="K240">
        <f>Table1[[#This Row],[Sales]]-Table1[[#This Row],[Commission]]</f>
        <v>2015.8306660645997</v>
      </c>
      <c r="L240">
        <f>Table1[[#This Row],[Sales]]+Table1[[#This Row],[Commission]]-Table1[[#This Row],[Revenue]]</f>
        <v>292.33866787080046</v>
      </c>
      <c r="M240">
        <f>Table1[[#This Row],[Revenue]]-Table1[[#This Row],[Cost]]</f>
        <v>1723.4919981937992</v>
      </c>
    </row>
    <row r="241" spans="1:13" x14ac:dyDescent="0.3">
      <c r="A241" s="1">
        <v>45169</v>
      </c>
      <c r="B241">
        <f>YEAR(Table1[[#This Row],[Date]])</f>
        <v>2023</v>
      </c>
      <c r="C241" t="s">
        <v>66</v>
      </c>
      <c r="D241" t="s">
        <v>4</v>
      </c>
      <c r="E241" t="s">
        <v>8</v>
      </c>
      <c r="F241">
        <v>2640</v>
      </c>
      <c r="G241">
        <v>146.15015688183621</v>
      </c>
      <c r="H241" t="str">
        <f>VLOOKUP(Table1[[#This Row],[Manager]],Managers!$A$2:$B$9,2,FALSE)</f>
        <v>Monique Bingette</v>
      </c>
      <c r="I241" t="str">
        <f>VLOOKUP(Table1[[#This Row],[Product]],Products!$A$2:$B$11,2,FALSE)</f>
        <v>Traditional English Trifle</v>
      </c>
      <c r="J241" t="str">
        <f>IF(Table1[[#This Row],[Sales]]&gt;4000,"Exceeded the target",IF(AND(Table1[[#This Row],[Sales]]&lt;=4000,Table1[[#This Row],[Sales]]&lt;2500),"Did not meet the target","met the target"))</f>
        <v>met the target</v>
      </c>
      <c r="K241">
        <f>Table1[[#This Row],[Sales]]-Table1[[#This Row],[Commission]]</f>
        <v>2493.8498431181638</v>
      </c>
      <c r="L241">
        <f>Table1[[#This Row],[Sales]]+Table1[[#This Row],[Commission]]-Table1[[#This Row],[Revenue]]</f>
        <v>292.30031376367242</v>
      </c>
      <c r="M241">
        <f>Table1[[#This Row],[Revenue]]-Table1[[#This Row],[Cost]]</f>
        <v>2201.5495293544914</v>
      </c>
    </row>
    <row r="242" spans="1:13" x14ac:dyDescent="0.3">
      <c r="A242" s="1">
        <v>45199</v>
      </c>
      <c r="B242">
        <f>YEAR(Table1[[#This Row],[Date]])</f>
        <v>2023</v>
      </c>
      <c r="C242" t="s">
        <v>55</v>
      </c>
      <c r="D242" t="s">
        <v>4</v>
      </c>
      <c r="E242" t="s">
        <v>10</v>
      </c>
      <c r="F242">
        <v>3997</v>
      </c>
      <c r="G242">
        <v>207.34595807890719</v>
      </c>
      <c r="H242" t="str">
        <f>VLOOKUP(Table1[[#This Row],[Manager]],Managers!$A$2:$B$9,2,FALSE)</f>
        <v>Monique Bingette</v>
      </c>
      <c r="I242" t="str">
        <f>VLOOKUP(Table1[[#This Row],[Product]],Products!$A$2:$B$11,2,FALSE)</f>
        <v>Mockolate</v>
      </c>
      <c r="J242" t="str">
        <f>IF(Table1[[#This Row],[Sales]]&gt;4000,"Exceeded the target",IF(AND(Table1[[#This Row],[Sales]]&lt;=4000,Table1[[#This Row],[Sales]]&lt;2500),"Did not meet the target","met the target"))</f>
        <v>met the target</v>
      </c>
      <c r="K242">
        <f>Table1[[#This Row],[Sales]]-Table1[[#This Row],[Commission]]</f>
        <v>3789.6540419210928</v>
      </c>
      <c r="L242">
        <f>Table1[[#This Row],[Sales]]+Table1[[#This Row],[Commission]]-Table1[[#This Row],[Revenue]]</f>
        <v>414.69191615781483</v>
      </c>
      <c r="M242">
        <f>Table1[[#This Row],[Revenue]]-Table1[[#This Row],[Cost]]</f>
        <v>3374.962125763278</v>
      </c>
    </row>
    <row r="243" spans="1:13" x14ac:dyDescent="0.3">
      <c r="A243" s="1">
        <v>45199</v>
      </c>
      <c r="B243">
        <f>YEAR(Table1[[#This Row],[Date]])</f>
        <v>2023</v>
      </c>
      <c r="C243" t="s">
        <v>56</v>
      </c>
      <c r="D243" t="s">
        <v>4</v>
      </c>
      <c r="E243" t="s">
        <v>9</v>
      </c>
      <c r="F243">
        <v>2172</v>
      </c>
      <c r="G243">
        <v>149.24200108585379</v>
      </c>
      <c r="H243" t="str">
        <f>VLOOKUP(Table1[[#This Row],[Manager]],Managers!$A$2:$B$9,2,FALSE)</f>
        <v>Monique Bingette</v>
      </c>
      <c r="I243" t="str">
        <f>VLOOKUP(Table1[[#This Row],[Product]],Products!$A$2:$B$11,2,FALSE)</f>
        <v>Floor Cheesecake</v>
      </c>
      <c r="J243" t="str">
        <f>IF(Table1[[#This Row],[Sales]]&gt;4000,"Exceeded the target",IF(AND(Table1[[#This Row],[Sales]]&lt;=4000,Table1[[#This Row],[Sales]]&lt;2500),"Did not meet the target","met the target"))</f>
        <v>Did not meet the target</v>
      </c>
      <c r="K243">
        <f>Table1[[#This Row],[Sales]]-Table1[[#This Row],[Commission]]</f>
        <v>2022.7579989141461</v>
      </c>
      <c r="L243">
        <f>Table1[[#This Row],[Sales]]+Table1[[#This Row],[Commission]]-Table1[[#This Row],[Revenue]]</f>
        <v>298.48400217170752</v>
      </c>
      <c r="M243">
        <f>Table1[[#This Row],[Revenue]]-Table1[[#This Row],[Cost]]</f>
        <v>1724.2739967424386</v>
      </c>
    </row>
    <row r="244" spans="1:13" x14ac:dyDescent="0.3">
      <c r="A244" s="1">
        <v>45199</v>
      </c>
      <c r="B244">
        <f>YEAR(Table1[[#This Row],[Date]])</f>
        <v>2023</v>
      </c>
      <c r="C244" t="s">
        <v>57</v>
      </c>
      <c r="D244" t="s">
        <v>4</v>
      </c>
      <c r="E244" t="s">
        <v>8</v>
      </c>
      <c r="F244">
        <v>2198</v>
      </c>
      <c r="G244">
        <v>144.6623269466194</v>
      </c>
      <c r="H244" t="str">
        <f>VLOOKUP(Table1[[#This Row],[Manager]],Managers!$A$2:$B$9,2,FALSE)</f>
        <v>Monique Bingette</v>
      </c>
      <c r="I244" t="str">
        <f>VLOOKUP(Table1[[#This Row],[Product]],Products!$A$2:$B$11,2,FALSE)</f>
        <v>Traditional English Trifle</v>
      </c>
      <c r="J244" t="str">
        <f>IF(Table1[[#This Row],[Sales]]&gt;4000,"Exceeded the target",IF(AND(Table1[[#This Row],[Sales]]&lt;=4000,Table1[[#This Row],[Sales]]&lt;2500),"Did not meet the target","met the target"))</f>
        <v>Did not meet the target</v>
      </c>
      <c r="K244">
        <f>Table1[[#This Row],[Sales]]-Table1[[#This Row],[Commission]]</f>
        <v>2053.3376730533805</v>
      </c>
      <c r="L244">
        <f>Table1[[#This Row],[Sales]]+Table1[[#This Row],[Commission]]-Table1[[#This Row],[Revenue]]</f>
        <v>289.32465389323897</v>
      </c>
      <c r="M244">
        <f>Table1[[#This Row],[Revenue]]-Table1[[#This Row],[Cost]]</f>
        <v>1764.0130191601415</v>
      </c>
    </row>
    <row r="245" spans="1:13" x14ac:dyDescent="0.3">
      <c r="A245" s="1">
        <v>45230</v>
      </c>
      <c r="B245">
        <f>YEAR(Table1[[#This Row],[Date]])</f>
        <v>2023</v>
      </c>
      <c r="C245" t="s">
        <v>58</v>
      </c>
      <c r="D245" t="s">
        <v>4</v>
      </c>
      <c r="E245" t="s">
        <v>8</v>
      </c>
      <c r="F245">
        <v>3924</v>
      </c>
      <c r="G245">
        <v>200.1193606162293</v>
      </c>
      <c r="H245" t="str">
        <f>VLOOKUP(Table1[[#This Row],[Manager]],Managers!$A$2:$B$9,2,FALSE)</f>
        <v>Monique Bingette</v>
      </c>
      <c r="I245" t="str">
        <f>VLOOKUP(Table1[[#This Row],[Product]],Products!$A$2:$B$11,2,FALSE)</f>
        <v>Traditional English Trifle</v>
      </c>
      <c r="J245" t="str">
        <f>IF(Table1[[#This Row],[Sales]]&gt;4000,"Exceeded the target",IF(AND(Table1[[#This Row],[Sales]]&lt;=4000,Table1[[#This Row],[Sales]]&lt;2500),"Did not meet the target","met the target"))</f>
        <v>met the target</v>
      </c>
      <c r="K245">
        <f>Table1[[#This Row],[Sales]]-Table1[[#This Row],[Commission]]</f>
        <v>3723.8806393837708</v>
      </c>
      <c r="L245">
        <f>Table1[[#This Row],[Sales]]+Table1[[#This Row],[Commission]]-Table1[[#This Row],[Revenue]]</f>
        <v>400.23872123245883</v>
      </c>
      <c r="M245">
        <f>Table1[[#This Row],[Revenue]]-Table1[[#This Row],[Cost]]</f>
        <v>3323.641918151312</v>
      </c>
    </row>
    <row r="246" spans="1:13" x14ac:dyDescent="0.3">
      <c r="A246" s="1">
        <v>45230</v>
      </c>
      <c r="B246">
        <f>YEAR(Table1[[#This Row],[Date]])</f>
        <v>2023</v>
      </c>
      <c r="C246" t="s">
        <v>59</v>
      </c>
      <c r="D246" t="s">
        <v>4</v>
      </c>
      <c r="E246" t="s">
        <v>9</v>
      </c>
      <c r="F246">
        <v>2795</v>
      </c>
      <c r="G246">
        <v>167.76652356346079</v>
      </c>
      <c r="H246" t="str">
        <f>VLOOKUP(Table1[[#This Row],[Manager]],Managers!$A$2:$B$9,2,FALSE)</f>
        <v>Monique Bingette</v>
      </c>
      <c r="I246" t="str">
        <f>VLOOKUP(Table1[[#This Row],[Product]],Products!$A$2:$B$11,2,FALSE)</f>
        <v>Floor Cheesecake</v>
      </c>
      <c r="J246" t="str">
        <f>IF(Table1[[#This Row],[Sales]]&gt;4000,"Exceeded the target",IF(AND(Table1[[#This Row],[Sales]]&lt;=4000,Table1[[#This Row],[Sales]]&lt;2500),"Did not meet the target","met the target"))</f>
        <v>met the target</v>
      </c>
      <c r="K246">
        <f>Table1[[#This Row],[Sales]]-Table1[[#This Row],[Commission]]</f>
        <v>2627.2334764365391</v>
      </c>
      <c r="L246">
        <f>Table1[[#This Row],[Sales]]+Table1[[#This Row],[Commission]]-Table1[[#This Row],[Revenue]]</f>
        <v>335.5330471269217</v>
      </c>
      <c r="M246">
        <f>Table1[[#This Row],[Revenue]]-Table1[[#This Row],[Cost]]</f>
        <v>2291.7004293096174</v>
      </c>
    </row>
    <row r="247" spans="1:13" x14ac:dyDescent="0.3">
      <c r="A247" s="1">
        <v>45230</v>
      </c>
      <c r="B247">
        <f>YEAR(Table1[[#This Row],[Date]])</f>
        <v>2023</v>
      </c>
      <c r="C247" t="s">
        <v>60</v>
      </c>
      <c r="D247" t="s">
        <v>4</v>
      </c>
      <c r="E247" t="s">
        <v>10</v>
      </c>
      <c r="F247">
        <v>2823</v>
      </c>
      <c r="G247">
        <v>122.3496630371508</v>
      </c>
      <c r="H247" t="str">
        <f>VLOOKUP(Table1[[#This Row],[Manager]],Managers!$A$2:$B$9,2,FALSE)</f>
        <v>Monique Bingette</v>
      </c>
      <c r="I247" t="str">
        <f>VLOOKUP(Table1[[#This Row],[Product]],Products!$A$2:$B$11,2,FALSE)</f>
        <v>Mockolate</v>
      </c>
      <c r="J247" t="str">
        <f>IF(Table1[[#This Row],[Sales]]&gt;4000,"Exceeded the target",IF(AND(Table1[[#This Row],[Sales]]&lt;=4000,Table1[[#This Row],[Sales]]&lt;2500),"Did not meet the target","met the target"))</f>
        <v>met the target</v>
      </c>
      <c r="K247">
        <f>Table1[[#This Row],[Sales]]-Table1[[#This Row],[Commission]]</f>
        <v>2700.650336962849</v>
      </c>
      <c r="L247">
        <f>Table1[[#This Row],[Sales]]+Table1[[#This Row],[Commission]]-Table1[[#This Row],[Revenue]]</f>
        <v>244.69932607430201</v>
      </c>
      <c r="M247">
        <f>Table1[[#This Row],[Revenue]]-Table1[[#This Row],[Cost]]</f>
        <v>2455.951010888547</v>
      </c>
    </row>
    <row r="248" spans="1:13" x14ac:dyDescent="0.3">
      <c r="A248" s="1">
        <v>45260</v>
      </c>
      <c r="B248">
        <f>YEAR(Table1[[#This Row],[Date]])</f>
        <v>2023</v>
      </c>
      <c r="C248" t="s">
        <v>61</v>
      </c>
      <c r="D248" t="s">
        <v>4</v>
      </c>
      <c r="E248" t="s">
        <v>10</v>
      </c>
      <c r="F248">
        <v>3693</v>
      </c>
      <c r="G248">
        <v>240.6705591949877</v>
      </c>
      <c r="H248" t="str">
        <f>VLOOKUP(Table1[[#This Row],[Manager]],Managers!$A$2:$B$9,2,FALSE)</f>
        <v>Monique Bingette</v>
      </c>
      <c r="I248" t="str">
        <f>VLOOKUP(Table1[[#This Row],[Product]],Products!$A$2:$B$11,2,FALSE)</f>
        <v>Mockolate</v>
      </c>
      <c r="J248" t="str">
        <f>IF(Table1[[#This Row],[Sales]]&gt;4000,"Exceeded the target",IF(AND(Table1[[#This Row],[Sales]]&lt;=4000,Table1[[#This Row],[Sales]]&lt;2500),"Did not meet the target","met the target"))</f>
        <v>met the target</v>
      </c>
      <c r="K248">
        <f>Table1[[#This Row],[Sales]]-Table1[[#This Row],[Commission]]</f>
        <v>3452.3294408050124</v>
      </c>
      <c r="L248">
        <f>Table1[[#This Row],[Sales]]+Table1[[#This Row],[Commission]]-Table1[[#This Row],[Revenue]]</f>
        <v>481.34111838997524</v>
      </c>
      <c r="M248">
        <f>Table1[[#This Row],[Revenue]]-Table1[[#This Row],[Cost]]</f>
        <v>2970.9883224150371</v>
      </c>
    </row>
    <row r="249" spans="1:13" x14ac:dyDescent="0.3">
      <c r="A249" s="1">
        <v>45260</v>
      </c>
      <c r="B249">
        <f>YEAR(Table1[[#This Row],[Date]])</f>
        <v>2023</v>
      </c>
      <c r="C249" t="s">
        <v>62</v>
      </c>
      <c r="D249" t="s">
        <v>4</v>
      </c>
      <c r="E249" t="s">
        <v>9</v>
      </c>
      <c r="F249">
        <v>3081</v>
      </c>
      <c r="G249">
        <v>175.7701235158745</v>
      </c>
      <c r="H249" t="str">
        <f>VLOOKUP(Table1[[#This Row],[Manager]],Managers!$A$2:$B$9,2,FALSE)</f>
        <v>Monique Bingette</v>
      </c>
      <c r="I249" t="str">
        <f>VLOOKUP(Table1[[#This Row],[Product]],Products!$A$2:$B$11,2,FALSE)</f>
        <v>Floor Cheesecake</v>
      </c>
      <c r="J249" t="str">
        <f>IF(Table1[[#This Row],[Sales]]&gt;4000,"Exceeded the target",IF(AND(Table1[[#This Row],[Sales]]&lt;=4000,Table1[[#This Row],[Sales]]&lt;2500),"Did not meet the target","met the target"))</f>
        <v>met the target</v>
      </c>
      <c r="K249">
        <f>Table1[[#This Row],[Sales]]-Table1[[#This Row],[Commission]]</f>
        <v>2905.2298764841253</v>
      </c>
      <c r="L249">
        <f>Table1[[#This Row],[Sales]]+Table1[[#This Row],[Commission]]-Table1[[#This Row],[Revenue]]</f>
        <v>351.54024703174946</v>
      </c>
      <c r="M249">
        <f>Table1[[#This Row],[Revenue]]-Table1[[#This Row],[Cost]]</f>
        <v>2553.6896294523758</v>
      </c>
    </row>
    <row r="250" spans="1:13" x14ac:dyDescent="0.3">
      <c r="A250" s="1">
        <v>45260</v>
      </c>
      <c r="B250">
        <f>YEAR(Table1[[#This Row],[Date]])</f>
        <v>2023</v>
      </c>
      <c r="C250" t="s">
        <v>63</v>
      </c>
      <c r="D250" t="s">
        <v>4</v>
      </c>
      <c r="E250" t="s">
        <v>8</v>
      </c>
      <c r="F250">
        <v>2112</v>
      </c>
      <c r="G250">
        <v>92.226656743772551</v>
      </c>
      <c r="H250" t="str">
        <f>VLOOKUP(Table1[[#This Row],[Manager]],Managers!$A$2:$B$9,2,FALSE)</f>
        <v>Monique Bingette</v>
      </c>
      <c r="I250" t="str">
        <f>VLOOKUP(Table1[[#This Row],[Product]],Products!$A$2:$B$11,2,FALSE)</f>
        <v>Traditional English Trifle</v>
      </c>
      <c r="J250" t="str">
        <f>IF(Table1[[#This Row],[Sales]]&gt;4000,"Exceeded the target",IF(AND(Table1[[#This Row],[Sales]]&lt;=4000,Table1[[#This Row],[Sales]]&lt;2500),"Did not meet the target","met the target"))</f>
        <v>Did not meet the target</v>
      </c>
      <c r="K250">
        <f>Table1[[#This Row],[Sales]]-Table1[[#This Row],[Commission]]</f>
        <v>2019.7733432562275</v>
      </c>
      <c r="L250">
        <f>Table1[[#This Row],[Sales]]+Table1[[#This Row],[Commission]]-Table1[[#This Row],[Revenue]]</f>
        <v>184.4533134875453</v>
      </c>
      <c r="M250">
        <f>Table1[[#This Row],[Revenue]]-Table1[[#This Row],[Cost]]</f>
        <v>1835.3200297686822</v>
      </c>
    </row>
    <row r="251" spans="1:13" x14ac:dyDescent="0.3">
      <c r="A251" s="1">
        <v>45291</v>
      </c>
      <c r="B251">
        <f>YEAR(Table1[[#This Row],[Date]])</f>
        <v>2023</v>
      </c>
      <c r="C251" t="s">
        <v>64</v>
      </c>
      <c r="D251" t="s">
        <v>4</v>
      </c>
      <c r="E251" t="s">
        <v>9</v>
      </c>
      <c r="F251">
        <v>3237</v>
      </c>
      <c r="G251">
        <v>133.24371793663889</v>
      </c>
      <c r="H251" t="str">
        <f>VLOOKUP(Table1[[#This Row],[Manager]],Managers!$A$2:$B$9,2,FALSE)</f>
        <v>Monique Bingette</v>
      </c>
      <c r="I251" t="str">
        <f>VLOOKUP(Table1[[#This Row],[Product]],Products!$A$2:$B$11,2,FALSE)</f>
        <v>Floor Cheesecake</v>
      </c>
      <c r="J251" t="str">
        <f>IF(Table1[[#This Row],[Sales]]&gt;4000,"Exceeded the target",IF(AND(Table1[[#This Row],[Sales]]&lt;=4000,Table1[[#This Row],[Sales]]&lt;2500),"Did not meet the target","met the target"))</f>
        <v>met the target</v>
      </c>
      <c r="K251">
        <f>Table1[[#This Row],[Sales]]-Table1[[#This Row],[Commission]]</f>
        <v>3103.7562820633611</v>
      </c>
      <c r="L251">
        <f>Table1[[#This Row],[Sales]]+Table1[[#This Row],[Commission]]-Table1[[#This Row],[Revenue]]</f>
        <v>266.48743587327772</v>
      </c>
      <c r="M251">
        <f>Table1[[#This Row],[Revenue]]-Table1[[#This Row],[Cost]]</f>
        <v>2837.2688461900834</v>
      </c>
    </row>
    <row r="252" spans="1:13" x14ac:dyDescent="0.3">
      <c r="A252" s="1">
        <v>45291</v>
      </c>
      <c r="B252">
        <f>YEAR(Table1[[#This Row],[Date]])</f>
        <v>2023</v>
      </c>
      <c r="C252" t="s">
        <v>65</v>
      </c>
      <c r="D252" t="s">
        <v>4</v>
      </c>
      <c r="E252" t="s">
        <v>10</v>
      </c>
      <c r="F252">
        <v>3177</v>
      </c>
      <c r="G252">
        <v>121.96502360223811</v>
      </c>
      <c r="H252" t="str">
        <f>VLOOKUP(Table1[[#This Row],[Manager]],Managers!$A$2:$B$9,2,FALSE)</f>
        <v>Monique Bingette</v>
      </c>
      <c r="I252" t="str">
        <f>VLOOKUP(Table1[[#This Row],[Product]],Products!$A$2:$B$11,2,FALSE)</f>
        <v>Mockolate</v>
      </c>
      <c r="J252" t="str">
        <f>IF(Table1[[#This Row],[Sales]]&gt;4000,"Exceeded the target",IF(AND(Table1[[#This Row],[Sales]]&lt;=4000,Table1[[#This Row],[Sales]]&lt;2500),"Did not meet the target","met the target"))</f>
        <v>met the target</v>
      </c>
      <c r="K252">
        <f>Table1[[#This Row],[Sales]]-Table1[[#This Row],[Commission]]</f>
        <v>3055.034976397762</v>
      </c>
      <c r="L252">
        <f>Table1[[#This Row],[Sales]]+Table1[[#This Row],[Commission]]-Table1[[#This Row],[Revenue]]</f>
        <v>243.93004720447607</v>
      </c>
      <c r="M252">
        <f>Table1[[#This Row],[Revenue]]-Table1[[#This Row],[Cost]]</f>
        <v>2811.1049291932859</v>
      </c>
    </row>
    <row r="253" spans="1:13" x14ac:dyDescent="0.3">
      <c r="A253" s="1">
        <v>45291</v>
      </c>
      <c r="B253">
        <f>YEAR(Table1[[#This Row],[Date]])</f>
        <v>2023</v>
      </c>
      <c r="C253" t="s">
        <v>66</v>
      </c>
      <c r="D253" t="s">
        <v>4</v>
      </c>
      <c r="E253" t="s">
        <v>8</v>
      </c>
      <c r="F253">
        <v>1136</v>
      </c>
      <c r="G253">
        <v>62.354179313680277</v>
      </c>
      <c r="H253" t="str">
        <f>VLOOKUP(Table1[[#This Row],[Manager]],Managers!$A$2:$B$9,2,FALSE)</f>
        <v>Monique Bingette</v>
      </c>
      <c r="I253" t="str">
        <f>VLOOKUP(Table1[[#This Row],[Product]],Products!$A$2:$B$11,2,FALSE)</f>
        <v>Traditional English Trifle</v>
      </c>
      <c r="J253" t="str">
        <f>IF(Table1[[#This Row],[Sales]]&gt;4000,"Exceeded the target",IF(AND(Table1[[#This Row],[Sales]]&lt;=4000,Table1[[#This Row],[Sales]]&lt;2500),"Did not meet the target","met the target"))</f>
        <v>Did not meet the target</v>
      </c>
      <c r="K253">
        <f>Table1[[#This Row],[Sales]]-Table1[[#This Row],[Commission]]</f>
        <v>1073.6458206863197</v>
      </c>
      <c r="L253">
        <f>Table1[[#This Row],[Sales]]+Table1[[#This Row],[Commission]]-Table1[[#This Row],[Revenue]]</f>
        <v>124.70835862736067</v>
      </c>
      <c r="M253">
        <f>Table1[[#This Row],[Revenue]]-Table1[[#This Row],[Cost]]</f>
        <v>948.937462058959</v>
      </c>
    </row>
    <row r="254" spans="1:13" x14ac:dyDescent="0.3">
      <c r="A254" s="1">
        <v>44957</v>
      </c>
      <c r="B254">
        <f>YEAR(Table1[[#This Row],[Date]])</f>
        <v>2023</v>
      </c>
      <c r="C254" t="s">
        <v>55</v>
      </c>
      <c r="D254" t="s">
        <v>5</v>
      </c>
      <c r="E254" t="s">
        <v>10</v>
      </c>
      <c r="F254">
        <v>2578</v>
      </c>
      <c r="G254">
        <v>155.37901363902799</v>
      </c>
      <c r="H254" t="str">
        <f>VLOOKUP(Table1[[#This Row],[Manager]],Managers!$A$2:$B$9,2,FALSE)</f>
        <v>Rachella Green</v>
      </c>
      <c r="I254" t="str">
        <f>VLOOKUP(Table1[[#This Row],[Product]],Products!$A$2:$B$11,2,FALSE)</f>
        <v>Mockolate</v>
      </c>
      <c r="J254" t="str">
        <f>IF(Table1[[#This Row],[Sales]]&gt;4000,"Exceeded the target",IF(AND(Table1[[#This Row],[Sales]]&lt;=4000,Table1[[#This Row],[Sales]]&lt;2500),"Did not meet the target","met the target"))</f>
        <v>met the target</v>
      </c>
      <c r="K254">
        <f>Table1[[#This Row],[Sales]]-Table1[[#This Row],[Commission]]</f>
        <v>2422.620986360972</v>
      </c>
      <c r="L254">
        <f>Table1[[#This Row],[Sales]]+Table1[[#This Row],[Commission]]-Table1[[#This Row],[Revenue]]</f>
        <v>310.75802727805603</v>
      </c>
      <c r="M254">
        <f>Table1[[#This Row],[Revenue]]-Table1[[#This Row],[Cost]]</f>
        <v>2111.8629590829159</v>
      </c>
    </row>
    <row r="255" spans="1:13" x14ac:dyDescent="0.3">
      <c r="A255" s="1">
        <v>44957</v>
      </c>
      <c r="B255">
        <f>YEAR(Table1[[#This Row],[Date]])</f>
        <v>2023</v>
      </c>
      <c r="C255" t="s">
        <v>56</v>
      </c>
      <c r="D255" t="s">
        <v>5</v>
      </c>
      <c r="E255" t="s">
        <v>9</v>
      </c>
      <c r="F255">
        <v>2198</v>
      </c>
      <c r="G255">
        <v>94.753177704901887</v>
      </c>
      <c r="H255" t="str">
        <f>VLOOKUP(Table1[[#This Row],[Manager]],Managers!$A$2:$B$9,2,FALSE)</f>
        <v>Rachella Green</v>
      </c>
      <c r="I255" t="str">
        <f>VLOOKUP(Table1[[#This Row],[Product]],Products!$A$2:$B$11,2,FALSE)</f>
        <v>Floor Cheesecake</v>
      </c>
      <c r="J255" t="str">
        <f>IF(Table1[[#This Row],[Sales]]&gt;4000,"Exceeded the target",IF(AND(Table1[[#This Row],[Sales]]&lt;=4000,Table1[[#This Row],[Sales]]&lt;2500),"Did not meet the target","met the target"))</f>
        <v>Did not meet the target</v>
      </c>
      <c r="K255">
        <f>Table1[[#This Row],[Sales]]-Table1[[#This Row],[Commission]]</f>
        <v>2103.2468222950979</v>
      </c>
      <c r="L255">
        <f>Table1[[#This Row],[Sales]]+Table1[[#This Row],[Commission]]-Table1[[#This Row],[Revenue]]</f>
        <v>189.5063554098042</v>
      </c>
      <c r="M255">
        <f>Table1[[#This Row],[Revenue]]-Table1[[#This Row],[Cost]]</f>
        <v>1913.7404668852937</v>
      </c>
    </row>
    <row r="256" spans="1:13" x14ac:dyDescent="0.3">
      <c r="A256" s="1">
        <v>44957</v>
      </c>
      <c r="B256">
        <f>YEAR(Table1[[#This Row],[Date]])</f>
        <v>2023</v>
      </c>
      <c r="C256" t="s">
        <v>57</v>
      </c>
      <c r="D256" t="s">
        <v>5</v>
      </c>
      <c r="E256" t="s">
        <v>8</v>
      </c>
      <c r="F256">
        <v>1275</v>
      </c>
      <c r="G256">
        <v>73.930724766776351</v>
      </c>
      <c r="H256" t="str">
        <f>VLOOKUP(Table1[[#This Row],[Manager]],Managers!$A$2:$B$9,2,FALSE)</f>
        <v>Rachella Green</v>
      </c>
      <c r="I256" t="str">
        <f>VLOOKUP(Table1[[#This Row],[Product]],Products!$A$2:$B$11,2,FALSE)</f>
        <v>Traditional English Trifle</v>
      </c>
      <c r="J256" t="str">
        <f>IF(Table1[[#This Row],[Sales]]&gt;4000,"Exceeded the target",IF(AND(Table1[[#This Row],[Sales]]&lt;=4000,Table1[[#This Row],[Sales]]&lt;2500),"Did not meet the target","met the target"))</f>
        <v>Did not meet the target</v>
      </c>
      <c r="K256">
        <f>Table1[[#This Row],[Sales]]-Table1[[#This Row],[Commission]]</f>
        <v>1201.0692752332236</v>
      </c>
      <c r="L256">
        <f>Table1[[#This Row],[Sales]]+Table1[[#This Row],[Commission]]-Table1[[#This Row],[Revenue]]</f>
        <v>147.86144953355279</v>
      </c>
      <c r="M256">
        <f>Table1[[#This Row],[Revenue]]-Table1[[#This Row],[Cost]]</f>
        <v>1053.2078256996708</v>
      </c>
    </row>
    <row r="257" spans="1:13" x14ac:dyDescent="0.3">
      <c r="A257" s="1">
        <v>44985</v>
      </c>
      <c r="B257">
        <f>YEAR(Table1[[#This Row],[Date]])</f>
        <v>2023</v>
      </c>
      <c r="C257" t="s">
        <v>58</v>
      </c>
      <c r="D257" t="s">
        <v>5</v>
      </c>
      <c r="E257" t="s">
        <v>9</v>
      </c>
      <c r="F257">
        <v>4341</v>
      </c>
      <c r="G257">
        <v>271.83755589097427</v>
      </c>
      <c r="H257" t="str">
        <f>VLOOKUP(Table1[[#This Row],[Manager]],Managers!$A$2:$B$9,2,FALSE)</f>
        <v>Rachella Green</v>
      </c>
      <c r="I257" t="str">
        <f>VLOOKUP(Table1[[#This Row],[Product]],Products!$A$2:$B$11,2,FALSE)</f>
        <v>Floor Cheesecake</v>
      </c>
      <c r="J257" t="str">
        <f>IF(Table1[[#This Row],[Sales]]&gt;4000,"Exceeded the target",IF(AND(Table1[[#This Row],[Sales]]&lt;=4000,Table1[[#This Row],[Sales]]&lt;2500),"Did not meet the target","met the target"))</f>
        <v>Exceeded the target</v>
      </c>
      <c r="K257">
        <f>Table1[[#This Row],[Sales]]-Table1[[#This Row],[Commission]]</f>
        <v>4069.1624441090257</v>
      </c>
      <c r="L257">
        <f>Table1[[#This Row],[Sales]]+Table1[[#This Row],[Commission]]-Table1[[#This Row],[Revenue]]</f>
        <v>543.67511178194809</v>
      </c>
      <c r="M257">
        <f>Table1[[#This Row],[Revenue]]-Table1[[#This Row],[Cost]]</f>
        <v>3525.4873323270776</v>
      </c>
    </row>
    <row r="258" spans="1:13" x14ac:dyDescent="0.3">
      <c r="A258" s="1">
        <v>44985</v>
      </c>
      <c r="B258">
        <f>YEAR(Table1[[#This Row],[Date]])</f>
        <v>2023</v>
      </c>
      <c r="C258" t="s">
        <v>59</v>
      </c>
      <c r="D258" t="s">
        <v>5</v>
      </c>
      <c r="E258" t="s">
        <v>8</v>
      </c>
      <c r="F258">
        <v>2899</v>
      </c>
      <c r="G258">
        <v>192.35951758714111</v>
      </c>
      <c r="H258" t="str">
        <f>VLOOKUP(Table1[[#This Row],[Manager]],Managers!$A$2:$B$9,2,FALSE)</f>
        <v>Rachella Green</v>
      </c>
      <c r="I258" t="str">
        <f>VLOOKUP(Table1[[#This Row],[Product]],Products!$A$2:$B$11,2,FALSE)</f>
        <v>Traditional English Trifle</v>
      </c>
      <c r="J258" t="str">
        <f>IF(Table1[[#This Row],[Sales]]&gt;4000,"Exceeded the target",IF(AND(Table1[[#This Row],[Sales]]&lt;=4000,Table1[[#This Row],[Sales]]&lt;2500),"Did not meet the target","met the target"))</f>
        <v>met the target</v>
      </c>
      <c r="K258">
        <f>Table1[[#This Row],[Sales]]-Table1[[#This Row],[Commission]]</f>
        <v>2706.640482412859</v>
      </c>
      <c r="L258">
        <f>Table1[[#This Row],[Sales]]+Table1[[#This Row],[Commission]]-Table1[[#This Row],[Revenue]]</f>
        <v>384.719035174282</v>
      </c>
      <c r="M258">
        <f>Table1[[#This Row],[Revenue]]-Table1[[#This Row],[Cost]]</f>
        <v>2321.921447238577</v>
      </c>
    </row>
    <row r="259" spans="1:13" x14ac:dyDescent="0.3">
      <c r="A259" s="1">
        <v>44985</v>
      </c>
      <c r="B259">
        <f>YEAR(Table1[[#This Row],[Date]])</f>
        <v>2023</v>
      </c>
      <c r="C259" t="s">
        <v>60</v>
      </c>
      <c r="D259" t="s">
        <v>5</v>
      </c>
      <c r="E259" t="s">
        <v>10</v>
      </c>
      <c r="F259">
        <v>2904</v>
      </c>
      <c r="G259">
        <v>105.6375840742307</v>
      </c>
      <c r="H259" t="str">
        <f>VLOOKUP(Table1[[#This Row],[Manager]],Managers!$A$2:$B$9,2,FALSE)</f>
        <v>Rachella Green</v>
      </c>
      <c r="I259" t="str">
        <f>VLOOKUP(Table1[[#This Row],[Product]],Products!$A$2:$B$11,2,FALSE)</f>
        <v>Mockolate</v>
      </c>
      <c r="J259" t="str">
        <f>IF(Table1[[#This Row],[Sales]]&gt;4000,"Exceeded the target",IF(AND(Table1[[#This Row],[Sales]]&lt;=4000,Table1[[#This Row],[Sales]]&lt;2500),"Did not meet the target","met the target"))</f>
        <v>met the target</v>
      </c>
      <c r="K259">
        <f>Table1[[#This Row],[Sales]]-Table1[[#This Row],[Commission]]</f>
        <v>2798.3624159257693</v>
      </c>
      <c r="L259">
        <f>Table1[[#This Row],[Sales]]+Table1[[#This Row],[Commission]]-Table1[[#This Row],[Revenue]]</f>
        <v>211.27516814846149</v>
      </c>
      <c r="M259">
        <f>Table1[[#This Row],[Revenue]]-Table1[[#This Row],[Cost]]</f>
        <v>2587.0872477773078</v>
      </c>
    </row>
    <row r="260" spans="1:13" x14ac:dyDescent="0.3">
      <c r="A260" s="1">
        <v>45016</v>
      </c>
      <c r="B260">
        <f>YEAR(Table1[[#This Row],[Date]])</f>
        <v>2023</v>
      </c>
      <c r="C260" t="s">
        <v>61</v>
      </c>
      <c r="D260" t="s">
        <v>5</v>
      </c>
      <c r="E260" t="s">
        <v>9</v>
      </c>
      <c r="F260">
        <v>4936</v>
      </c>
      <c r="G260">
        <v>331.55929743224777</v>
      </c>
      <c r="H260" t="str">
        <f>VLOOKUP(Table1[[#This Row],[Manager]],Managers!$A$2:$B$9,2,FALSE)</f>
        <v>Rachella Green</v>
      </c>
      <c r="I260" t="str">
        <f>VLOOKUP(Table1[[#This Row],[Product]],Products!$A$2:$B$11,2,FALSE)</f>
        <v>Floor Cheesecake</v>
      </c>
      <c r="J260" t="str">
        <f>IF(Table1[[#This Row],[Sales]]&gt;4000,"Exceeded the target",IF(AND(Table1[[#This Row],[Sales]]&lt;=4000,Table1[[#This Row],[Sales]]&lt;2500),"Did not meet the target","met the target"))</f>
        <v>Exceeded the target</v>
      </c>
      <c r="K260">
        <f>Table1[[#This Row],[Sales]]-Table1[[#This Row],[Commission]]</f>
        <v>4604.4407025677519</v>
      </c>
      <c r="L260">
        <f>Table1[[#This Row],[Sales]]+Table1[[#This Row],[Commission]]-Table1[[#This Row],[Revenue]]</f>
        <v>663.11859486449612</v>
      </c>
      <c r="M260">
        <f>Table1[[#This Row],[Revenue]]-Table1[[#This Row],[Cost]]</f>
        <v>3941.3221077032558</v>
      </c>
    </row>
    <row r="261" spans="1:13" x14ac:dyDescent="0.3">
      <c r="A261" s="1">
        <v>45016</v>
      </c>
      <c r="B261">
        <f>YEAR(Table1[[#This Row],[Date]])</f>
        <v>2023</v>
      </c>
      <c r="C261" t="s">
        <v>62</v>
      </c>
      <c r="D261" t="s">
        <v>5</v>
      </c>
      <c r="E261" t="s">
        <v>8</v>
      </c>
      <c r="F261">
        <v>4854</v>
      </c>
      <c r="G261">
        <v>223.5285446760287</v>
      </c>
      <c r="H261" t="str">
        <f>VLOOKUP(Table1[[#This Row],[Manager]],Managers!$A$2:$B$9,2,FALSE)</f>
        <v>Rachella Green</v>
      </c>
      <c r="I261" t="str">
        <f>VLOOKUP(Table1[[#This Row],[Product]],Products!$A$2:$B$11,2,FALSE)</f>
        <v>Traditional English Trifle</v>
      </c>
      <c r="J261" t="str">
        <f>IF(Table1[[#This Row],[Sales]]&gt;4000,"Exceeded the target",IF(AND(Table1[[#This Row],[Sales]]&lt;=4000,Table1[[#This Row],[Sales]]&lt;2500),"Did not meet the target","met the target"))</f>
        <v>Exceeded the target</v>
      </c>
      <c r="K261">
        <f>Table1[[#This Row],[Sales]]-Table1[[#This Row],[Commission]]</f>
        <v>4630.471455323971</v>
      </c>
      <c r="L261">
        <f>Table1[[#This Row],[Sales]]+Table1[[#This Row],[Commission]]-Table1[[#This Row],[Revenue]]</f>
        <v>447.05708935205803</v>
      </c>
      <c r="M261">
        <f>Table1[[#This Row],[Revenue]]-Table1[[#This Row],[Cost]]</f>
        <v>4183.414365971913</v>
      </c>
    </row>
    <row r="262" spans="1:13" x14ac:dyDescent="0.3">
      <c r="A262" s="1">
        <v>45016</v>
      </c>
      <c r="B262">
        <f>YEAR(Table1[[#This Row],[Date]])</f>
        <v>2023</v>
      </c>
      <c r="C262" t="s">
        <v>63</v>
      </c>
      <c r="D262" t="s">
        <v>5</v>
      </c>
      <c r="E262" t="s">
        <v>10</v>
      </c>
      <c r="F262">
        <v>4332</v>
      </c>
      <c r="G262">
        <v>147.22127510874191</v>
      </c>
      <c r="H262" t="str">
        <f>VLOOKUP(Table1[[#This Row],[Manager]],Managers!$A$2:$B$9,2,FALSE)</f>
        <v>Rachella Green</v>
      </c>
      <c r="I262" t="str">
        <f>VLOOKUP(Table1[[#This Row],[Product]],Products!$A$2:$B$11,2,FALSE)</f>
        <v>Mockolate</v>
      </c>
      <c r="J262" t="str">
        <f>IF(Table1[[#This Row],[Sales]]&gt;4000,"Exceeded the target",IF(AND(Table1[[#This Row],[Sales]]&lt;=4000,Table1[[#This Row],[Sales]]&lt;2500),"Did not meet the target","met the target"))</f>
        <v>Exceeded the target</v>
      </c>
      <c r="K262">
        <f>Table1[[#This Row],[Sales]]-Table1[[#This Row],[Commission]]</f>
        <v>4184.7787248912582</v>
      </c>
      <c r="L262">
        <f>Table1[[#This Row],[Sales]]+Table1[[#This Row],[Commission]]-Table1[[#This Row],[Revenue]]</f>
        <v>294.44255021748359</v>
      </c>
      <c r="M262">
        <f>Table1[[#This Row],[Revenue]]-Table1[[#This Row],[Cost]]</f>
        <v>3890.3361746737746</v>
      </c>
    </row>
    <row r="263" spans="1:13" x14ac:dyDescent="0.3">
      <c r="A263" s="1">
        <v>45046</v>
      </c>
      <c r="B263">
        <f>YEAR(Table1[[#This Row],[Date]])</f>
        <v>2023</v>
      </c>
      <c r="C263" t="s">
        <v>64</v>
      </c>
      <c r="D263" t="s">
        <v>5</v>
      </c>
      <c r="E263" t="s">
        <v>8</v>
      </c>
      <c r="F263">
        <v>3197</v>
      </c>
      <c r="G263">
        <v>128.28808985327831</v>
      </c>
      <c r="H263" t="str">
        <f>VLOOKUP(Table1[[#This Row],[Manager]],Managers!$A$2:$B$9,2,FALSE)</f>
        <v>Rachella Green</v>
      </c>
      <c r="I263" t="str">
        <f>VLOOKUP(Table1[[#This Row],[Product]],Products!$A$2:$B$11,2,FALSE)</f>
        <v>Traditional English Trifle</v>
      </c>
      <c r="J263" t="str">
        <f>IF(Table1[[#This Row],[Sales]]&gt;4000,"Exceeded the target",IF(AND(Table1[[#This Row],[Sales]]&lt;=4000,Table1[[#This Row],[Sales]]&lt;2500),"Did not meet the target","met the target"))</f>
        <v>met the target</v>
      </c>
      <c r="K263">
        <f>Table1[[#This Row],[Sales]]-Table1[[#This Row],[Commission]]</f>
        <v>3068.7119101467215</v>
      </c>
      <c r="L263">
        <f>Table1[[#This Row],[Sales]]+Table1[[#This Row],[Commission]]-Table1[[#This Row],[Revenue]]</f>
        <v>256.57617970655701</v>
      </c>
      <c r="M263">
        <f>Table1[[#This Row],[Revenue]]-Table1[[#This Row],[Cost]]</f>
        <v>2812.1357304401645</v>
      </c>
    </row>
    <row r="264" spans="1:13" x14ac:dyDescent="0.3">
      <c r="A264" s="1">
        <v>45046</v>
      </c>
      <c r="B264">
        <f>YEAR(Table1[[#This Row],[Date]])</f>
        <v>2023</v>
      </c>
      <c r="C264" t="s">
        <v>65</v>
      </c>
      <c r="D264" t="s">
        <v>5</v>
      </c>
      <c r="E264" t="s">
        <v>9</v>
      </c>
      <c r="F264">
        <v>2134</v>
      </c>
      <c r="G264">
        <v>75.2068745365344</v>
      </c>
      <c r="H264" t="str">
        <f>VLOOKUP(Table1[[#This Row],[Manager]],Managers!$A$2:$B$9,2,FALSE)</f>
        <v>Rachella Green</v>
      </c>
      <c r="I264" t="str">
        <f>VLOOKUP(Table1[[#This Row],[Product]],Products!$A$2:$B$11,2,FALSE)</f>
        <v>Floor Cheesecake</v>
      </c>
      <c r="J264" t="str">
        <f>IF(Table1[[#This Row],[Sales]]&gt;4000,"Exceeded the target",IF(AND(Table1[[#This Row],[Sales]]&lt;=4000,Table1[[#This Row],[Sales]]&lt;2500),"Did not meet the target","met the target"))</f>
        <v>Did not meet the target</v>
      </c>
      <c r="K264">
        <f>Table1[[#This Row],[Sales]]-Table1[[#This Row],[Commission]]</f>
        <v>2058.7931254634655</v>
      </c>
      <c r="L264">
        <f>Table1[[#This Row],[Sales]]+Table1[[#This Row],[Commission]]-Table1[[#This Row],[Revenue]]</f>
        <v>150.41374907306908</v>
      </c>
      <c r="M264">
        <f>Table1[[#This Row],[Revenue]]-Table1[[#This Row],[Cost]]</f>
        <v>1908.3793763903964</v>
      </c>
    </row>
    <row r="265" spans="1:13" x14ac:dyDescent="0.3">
      <c r="A265" s="1">
        <v>45046</v>
      </c>
      <c r="B265">
        <f>YEAR(Table1[[#This Row],[Date]])</f>
        <v>2023</v>
      </c>
      <c r="C265" t="s">
        <v>66</v>
      </c>
      <c r="D265" t="s">
        <v>5</v>
      </c>
      <c r="E265" t="s">
        <v>10</v>
      </c>
      <c r="F265">
        <v>1025</v>
      </c>
      <c r="G265">
        <v>31.24348513880383</v>
      </c>
      <c r="H265" t="str">
        <f>VLOOKUP(Table1[[#This Row],[Manager]],Managers!$A$2:$B$9,2,FALSE)</f>
        <v>Rachella Green</v>
      </c>
      <c r="I265" t="str">
        <f>VLOOKUP(Table1[[#This Row],[Product]],Products!$A$2:$B$11,2,FALSE)</f>
        <v>Mockolate</v>
      </c>
      <c r="J265" t="str">
        <f>IF(Table1[[#This Row],[Sales]]&gt;4000,"Exceeded the target",IF(AND(Table1[[#This Row],[Sales]]&lt;=4000,Table1[[#This Row],[Sales]]&lt;2500),"Did not meet the target","met the target"))</f>
        <v>Did not meet the target</v>
      </c>
      <c r="K265">
        <f>Table1[[#This Row],[Sales]]-Table1[[#This Row],[Commission]]</f>
        <v>993.75651486119614</v>
      </c>
      <c r="L265">
        <f>Table1[[#This Row],[Sales]]+Table1[[#This Row],[Commission]]-Table1[[#This Row],[Revenue]]</f>
        <v>62.486970277607725</v>
      </c>
      <c r="M265">
        <f>Table1[[#This Row],[Revenue]]-Table1[[#This Row],[Cost]]</f>
        <v>931.26954458358841</v>
      </c>
    </row>
    <row r="266" spans="1:13" x14ac:dyDescent="0.3">
      <c r="A266" s="1">
        <v>45077</v>
      </c>
      <c r="B266">
        <f>YEAR(Table1[[#This Row],[Date]])</f>
        <v>2023</v>
      </c>
      <c r="C266" t="s">
        <v>55</v>
      </c>
      <c r="D266" t="s">
        <v>5</v>
      </c>
      <c r="E266" t="s">
        <v>9</v>
      </c>
      <c r="F266">
        <v>3169</v>
      </c>
      <c r="G266">
        <v>179.049079487482</v>
      </c>
      <c r="H266" t="str">
        <f>VLOOKUP(Table1[[#This Row],[Manager]],Managers!$A$2:$B$9,2,FALSE)</f>
        <v>Rachella Green</v>
      </c>
      <c r="I266" t="str">
        <f>VLOOKUP(Table1[[#This Row],[Product]],Products!$A$2:$B$11,2,FALSE)</f>
        <v>Floor Cheesecake</v>
      </c>
      <c r="J266" t="str">
        <f>IF(Table1[[#This Row],[Sales]]&gt;4000,"Exceeded the target",IF(AND(Table1[[#This Row],[Sales]]&lt;=4000,Table1[[#This Row],[Sales]]&lt;2500),"Did not meet the target","met the target"))</f>
        <v>met the target</v>
      </c>
      <c r="K266">
        <f>Table1[[#This Row],[Sales]]-Table1[[#This Row],[Commission]]</f>
        <v>2989.9509205125178</v>
      </c>
      <c r="L266">
        <f>Table1[[#This Row],[Sales]]+Table1[[#This Row],[Commission]]-Table1[[#This Row],[Revenue]]</f>
        <v>358.09815897496446</v>
      </c>
      <c r="M266">
        <f>Table1[[#This Row],[Revenue]]-Table1[[#This Row],[Cost]]</f>
        <v>2631.8527615375533</v>
      </c>
    </row>
    <row r="267" spans="1:13" x14ac:dyDescent="0.3">
      <c r="A267" s="1">
        <v>45077</v>
      </c>
      <c r="B267">
        <f>YEAR(Table1[[#This Row],[Date]])</f>
        <v>2023</v>
      </c>
      <c r="C267" t="s">
        <v>56</v>
      </c>
      <c r="D267" t="s">
        <v>5</v>
      </c>
      <c r="E267" t="s">
        <v>8</v>
      </c>
      <c r="F267">
        <v>3811</v>
      </c>
      <c r="G267">
        <v>151.13185444447291</v>
      </c>
      <c r="H267" t="str">
        <f>VLOOKUP(Table1[[#This Row],[Manager]],Managers!$A$2:$B$9,2,FALSE)</f>
        <v>Rachella Green</v>
      </c>
      <c r="I267" t="str">
        <f>VLOOKUP(Table1[[#This Row],[Product]],Products!$A$2:$B$11,2,FALSE)</f>
        <v>Traditional English Trifle</v>
      </c>
      <c r="J267" t="str">
        <f>IF(Table1[[#This Row],[Sales]]&gt;4000,"Exceeded the target",IF(AND(Table1[[#This Row],[Sales]]&lt;=4000,Table1[[#This Row],[Sales]]&lt;2500),"Did not meet the target","met the target"))</f>
        <v>met the target</v>
      </c>
      <c r="K267">
        <f>Table1[[#This Row],[Sales]]-Table1[[#This Row],[Commission]]</f>
        <v>3659.868145555527</v>
      </c>
      <c r="L267">
        <f>Table1[[#This Row],[Sales]]+Table1[[#This Row],[Commission]]-Table1[[#This Row],[Revenue]]</f>
        <v>302.26370888894598</v>
      </c>
      <c r="M267">
        <f>Table1[[#This Row],[Revenue]]-Table1[[#This Row],[Cost]]</f>
        <v>3357.604436666581</v>
      </c>
    </row>
    <row r="268" spans="1:13" x14ac:dyDescent="0.3">
      <c r="A268" s="1">
        <v>45077</v>
      </c>
      <c r="B268">
        <f>YEAR(Table1[[#This Row],[Date]])</f>
        <v>2023</v>
      </c>
      <c r="C268" t="s">
        <v>57</v>
      </c>
      <c r="D268" t="s">
        <v>5</v>
      </c>
      <c r="E268" t="s">
        <v>10</v>
      </c>
      <c r="F268">
        <v>2350</v>
      </c>
      <c r="G268">
        <v>93.629939389150664</v>
      </c>
      <c r="H268" t="str">
        <f>VLOOKUP(Table1[[#This Row],[Manager]],Managers!$A$2:$B$9,2,FALSE)</f>
        <v>Rachella Green</v>
      </c>
      <c r="I268" t="str">
        <f>VLOOKUP(Table1[[#This Row],[Product]],Products!$A$2:$B$11,2,FALSE)</f>
        <v>Mockolate</v>
      </c>
      <c r="J268" t="str">
        <f>IF(Table1[[#This Row],[Sales]]&gt;4000,"Exceeded the target",IF(AND(Table1[[#This Row],[Sales]]&lt;=4000,Table1[[#This Row],[Sales]]&lt;2500),"Did not meet the target","met the target"))</f>
        <v>Did not meet the target</v>
      </c>
      <c r="K268">
        <f>Table1[[#This Row],[Sales]]-Table1[[#This Row],[Commission]]</f>
        <v>2256.3700606108491</v>
      </c>
      <c r="L268">
        <f>Table1[[#This Row],[Sales]]+Table1[[#This Row],[Commission]]-Table1[[#This Row],[Revenue]]</f>
        <v>187.25987877830175</v>
      </c>
      <c r="M268">
        <f>Table1[[#This Row],[Revenue]]-Table1[[#This Row],[Cost]]</f>
        <v>2069.1101818325474</v>
      </c>
    </row>
    <row r="269" spans="1:13" x14ac:dyDescent="0.3">
      <c r="A269" s="1">
        <v>45107</v>
      </c>
      <c r="B269">
        <f>YEAR(Table1[[#This Row],[Date]])</f>
        <v>2023</v>
      </c>
      <c r="C269" t="s">
        <v>58</v>
      </c>
      <c r="D269" t="s">
        <v>5</v>
      </c>
      <c r="E269" t="s">
        <v>10</v>
      </c>
      <c r="F269">
        <v>3159</v>
      </c>
      <c r="G269">
        <v>219.29669679700709</v>
      </c>
      <c r="H269" t="str">
        <f>VLOOKUP(Table1[[#This Row],[Manager]],Managers!$A$2:$B$9,2,FALSE)</f>
        <v>Rachella Green</v>
      </c>
      <c r="I269" t="str">
        <f>VLOOKUP(Table1[[#This Row],[Product]],Products!$A$2:$B$11,2,FALSE)</f>
        <v>Mockolate</v>
      </c>
      <c r="J269" t="str">
        <f>IF(Table1[[#This Row],[Sales]]&gt;4000,"Exceeded the target",IF(AND(Table1[[#This Row],[Sales]]&lt;=4000,Table1[[#This Row],[Sales]]&lt;2500),"Did not meet the target","met the target"))</f>
        <v>met the target</v>
      </c>
      <c r="K269">
        <f>Table1[[#This Row],[Sales]]-Table1[[#This Row],[Commission]]</f>
        <v>2939.7033032029931</v>
      </c>
      <c r="L269">
        <f>Table1[[#This Row],[Sales]]+Table1[[#This Row],[Commission]]-Table1[[#This Row],[Revenue]]</f>
        <v>438.59339359401383</v>
      </c>
      <c r="M269">
        <f>Table1[[#This Row],[Revenue]]-Table1[[#This Row],[Cost]]</f>
        <v>2501.1099096089793</v>
      </c>
    </row>
    <row r="270" spans="1:13" x14ac:dyDescent="0.3">
      <c r="A270" s="1">
        <v>45107</v>
      </c>
      <c r="B270">
        <f>YEAR(Table1[[#This Row],[Date]])</f>
        <v>2023</v>
      </c>
      <c r="C270" t="s">
        <v>59</v>
      </c>
      <c r="D270" t="s">
        <v>5</v>
      </c>
      <c r="E270" t="s">
        <v>8</v>
      </c>
      <c r="F270">
        <v>3827</v>
      </c>
      <c r="G270">
        <v>168.16134508192161</v>
      </c>
      <c r="H270" t="str">
        <f>VLOOKUP(Table1[[#This Row],[Manager]],Managers!$A$2:$B$9,2,FALSE)</f>
        <v>Rachella Green</v>
      </c>
      <c r="I270" t="str">
        <f>VLOOKUP(Table1[[#This Row],[Product]],Products!$A$2:$B$11,2,FALSE)</f>
        <v>Traditional English Trifle</v>
      </c>
      <c r="J270" t="str">
        <f>IF(Table1[[#This Row],[Sales]]&gt;4000,"Exceeded the target",IF(AND(Table1[[#This Row],[Sales]]&lt;=4000,Table1[[#This Row],[Sales]]&lt;2500),"Did not meet the target","met the target"))</f>
        <v>met the target</v>
      </c>
      <c r="K270">
        <f>Table1[[#This Row],[Sales]]-Table1[[#This Row],[Commission]]</f>
        <v>3658.8386549180782</v>
      </c>
      <c r="L270">
        <f>Table1[[#This Row],[Sales]]+Table1[[#This Row],[Commission]]-Table1[[#This Row],[Revenue]]</f>
        <v>336.32269016384362</v>
      </c>
      <c r="M270">
        <f>Table1[[#This Row],[Revenue]]-Table1[[#This Row],[Cost]]</f>
        <v>3322.5159647542346</v>
      </c>
    </row>
    <row r="271" spans="1:13" x14ac:dyDescent="0.3">
      <c r="A271" s="1">
        <v>45107</v>
      </c>
      <c r="B271">
        <f>YEAR(Table1[[#This Row],[Date]])</f>
        <v>2023</v>
      </c>
      <c r="C271" t="s">
        <v>60</v>
      </c>
      <c r="D271" t="s">
        <v>5</v>
      </c>
      <c r="E271" t="s">
        <v>9</v>
      </c>
      <c r="F271">
        <v>1166</v>
      </c>
      <c r="G271">
        <v>72.990036597828336</v>
      </c>
      <c r="H271" t="str">
        <f>VLOOKUP(Table1[[#This Row],[Manager]],Managers!$A$2:$B$9,2,FALSE)</f>
        <v>Rachella Green</v>
      </c>
      <c r="I271" t="str">
        <f>VLOOKUP(Table1[[#This Row],[Product]],Products!$A$2:$B$11,2,FALSE)</f>
        <v>Floor Cheesecake</v>
      </c>
      <c r="J271" t="str">
        <f>IF(Table1[[#This Row],[Sales]]&gt;4000,"Exceeded the target",IF(AND(Table1[[#This Row],[Sales]]&lt;=4000,Table1[[#This Row],[Sales]]&lt;2500),"Did not meet the target","met the target"))</f>
        <v>Did not meet the target</v>
      </c>
      <c r="K271">
        <f>Table1[[#This Row],[Sales]]-Table1[[#This Row],[Commission]]</f>
        <v>1093.0099634021717</v>
      </c>
      <c r="L271">
        <f>Table1[[#This Row],[Sales]]+Table1[[#This Row],[Commission]]-Table1[[#This Row],[Revenue]]</f>
        <v>145.98007319565659</v>
      </c>
      <c r="M271">
        <f>Table1[[#This Row],[Revenue]]-Table1[[#This Row],[Cost]]</f>
        <v>947.02989020651512</v>
      </c>
    </row>
    <row r="272" spans="1:13" x14ac:dyDescent="0.3">
      <c r="A272" s="1">
        <v>45138</v>
      </c>
      <c r="B272">
        <f>YEAR(Table1[[#This Row],[Date]])</f>
        <v>2023</v>
      </c>
      <c r="C272" t="s">
        <v>61</v>
      </c>
      <c r="D272" t="s">
        <v>5</v>
      </c>
      <c r="E272" t="s">
        <v>10</v>
      </c>
      <c r="F272">
        <v>3022</v>
      </c>
      <c r="G272">
        <v>135.90492263983231</v>
      </c>
      <c r="H272" t="str">
        <f>VLOOKUP(Table1[[#This Row],[Manager]],Managers!$A$2:$B$9,2,FALSE)</f>
        <v>Rachella Green</v>
      </c>
      <c r="I272" t="str">
        <f>VLOOKUP(Table1[[#This Row],[Product]],Products!$A$2:$B$11,2,FALSE)</f>
        <v>Mockolate</v>
      </c>
      <c r="J272" t="str">
        <f>IF(Table1[[#This Row],[Sales]]&gt;4000,"Exceeded the target",IF(AND(Table1[[#This Row],[Sales]]&lt;=4000,Table1[[#This Row],[Sales]]&lt;2500),"Did not meet the target","met the target"))</f>
        <v>met the target</v>
      </c>
      <c r="K272">
        <f>Table1[[#This Row],[Sales]]-Table1[[#This Row],[Commission]]</f>
        <v>2886.0950773601676</v>
      </c>
      <c r="L272">
        <f>Table1[[#This Row],[Sales]]+Table1[[#This Row],[Commission]]-Table1[[#This Row],[Revenue]]</f>
        <v>271.80984527966484</v>
      </c>
      <c r="M272">
        <f>Table1[[#This Row],[Revenue]]-Table1[[#This Row],[Cost]]</f>
        <v>2614.2852320805027</v>
      </c>
    </row>
    <row r="273" spans="1:13" x14ac:dyDescent="0.3">
      <c r="A273" s="1">
        <v>45138</v>
      </c>
      <c r="B273">
        <f>YEAR(Table1[[#This Row],[Date]])</f>
        <v>2023</v>
      </c>
      <c r="C273" t="s">
        <v>62</v>
      </c>
      <c r="D273" t="s">
        <v>5</v>
      </c>
      <c r="E273" t="s">
        <v>8</v>
      </c>
      <c r="F273">
        <v>3282</v>
      </c>
      <c r="G273">
        <v>134.2255156367716</v>
      </c>
      <c r="H273" t="str">
        <f>VLOOKUP(Table1[[#This Row],[Manager]],Managers!$A$2:$B$9,2,FALSE)</f>
        <v>Rachella Green</v>
      </c>
      <c r="I273" t="str">
        <f>VLOOKUP(Table1[[#This Row],[Product]],Products!$A$2:$B$11,2,FALSE)</f>
        <v>Traditional English Trifle</v>
      </c>
      <c r="J273" t="str">
        <f>IF(Table1[[#This Row],[Sales]]&gt;4000,"Exceeded the target",IF(AND(Table1[[#This Row],[Sales]]&lt;=4000,Table1[[#This Row],[Sales]]&lt;2500),"Did not meet the target","met the target"))</f>
        <v>met the target</v>
      </c>
      <c r="K273">
        <f>Table1[[#This Row],[Sales]]-Table1[[#This Row],[Commission]]</f>
        <v>3147.7744843632286</v>
      </c>
      <c r="L273">
        <f>Table1[[#This Row],[Sales]]+Table1[[#This Row],[Commission]]-Table1[[#This Row],[Revenue]]</f>
        <v>268.45103127354287</v>
      </c>
      <c r="M273">
        <f>Table1[[#This Row],[Revenue]]-Table1[[#This Row],[Cost]]</f>
        <v>2879.3234530896857</v>
      </c>
    </row>
    <row r="274" spans="1:13" x14ac:dyDescent="0.3">
      <c r="A274" s="1">
        <v>45138</v>
      </c>
      <c r="B274">
        <f>YEAR(Table1[[#This Row],[Date]])</f>
        <v>2023</v>
      </c>
      <c r="C274" t="s">
        <v>63</v>
      </c>
      <c r="D274" t="s">
        <v>5</v>
      </c>
      <c r="E274" t="s">
        <v>9</v>
      </c>
      <c r="F274">
        <v>2740</v>
      </c>
      <c r="G274">
        <v>123.74463581008619</v>
      </c>
      <c r="H274" t="str">
        <f>VLOOKUP(Table1[[#This Row],[Manager]],Managers!$A$2:$B$9,2,FALSE)</f>
        <v>Rachella Green</v>
      </c>
      <c r="I274" t="str">
        <f>VLOOKUP(Table1[[#This Row],[Product]],Products!$A$2:$B$11,2,FALSE)</f>
        <v>Floor Cheesecake</v>
      </c>
      <c r="J274" t="str">
        <f>IF(Table1[[#This Row],[Sales]]&gt;4000,"Exceeded the target",IF(AND(Table1[[#This Row],[Sales]]&lt;=4000,Table1[[#This Row],[Sales]]&lt;2500),"Did not meet the target","met the target"))</f>
        <v>met the target</v>
      </c>
      <c r="K274">
        <f>Table1[[#This Row],[Sales]]-Table1[[#This Row],[Commission]]</f>
        <v>2616.255364189914</v>
      </c>
      <c r="L274">
        <f>Table1[[#This Row],[Sales]]+Table1[[#This Row],[Commission]]-Table1[[#This Row],[Revenue]]</f>
        <v>247.48927162017208</v>
      </c>
      <c r="M274">
        <f>Table1[[#This Row],[Revenue]]-Table1[[#This Row],[Cost]]</f>
        <v>2368.7660925697419</v>
      </c>
    </row>
    <row r="275" spans="1:13" x14ac:dyDescent="0.3">
      <c r="A275" s="1">
        <v>45169</v>
      </c>
      <c r="B275">
        <f>YEAR(Table1[[#This Row],[Date]])</f>
        <v>2023</v>
      </c>
      <c r="C275" t="s">
        <v>64</v>
      </c>
      <c r="D275" t="s">
        <v>5</v>
      </c>
      <c r="E275" t="s">
        <v>10</v>
      </c>
      <c r="F275">
        <v>4709</v>
      </c>
      <c r="G275">
        <v>323.59599412557219</v>
      </c>
      <c r="H275" t="str">
        <f>VLOOKUP(Table1[[#This Row],[Manager]],Managers!$A$2:$B$9,2,FALSE)</f>
        <v>Rachella Green</v>
      </c>
      <c r="I275" t="str">
        <f>VLOOKUP(Table1[[#This Row],[Product]],Products!$A$2:$B$11,2,FALSE)</f>
        <v>Mockolate</v>
      </c>
      <c r="J275" t="str">
        <f>IF(Table1[[#This Row],[Sales]]&gt;4000,"Exceeded the target",IF(AND(Table1[[#This Row],[Sales]]&lt;=4000,Table1[[#This Row],[Sales]]&lt;2500),"Did not meet the target","met the target"))</f>
        <v>Exceeded the target</v>
      </c>
      <c r="K275">
        <f>Table1[[#This Row],[Sales]]-Table1[[#This Row],[Commission]]</f>
        <v>4385.4040058744276</v>
      </c>
      <c r="L275">
        <f>Table1[[#This Row],[Sales]]+Table1[[#This Row],[Commission]]-Table1[[#This Row],[Revenue]]</f>
        <v>647.19198825114472</v>
      </c>
      <c r="M275">
        <f>Table1[[#This Row],[Revenue]]-Table1[[#This Row],[Cost]]</f>
        <v>3738.2120176232829</v>
      </c>
    </row>
    <row r="276" spans="1:13" x14ac:dyDescent="0.3">
      <c r="A276" s="1">
        <v>45169</v>
      </c>
      <c r="B276">
        <f>YEAR(Table1[[#This Row],[Date]])</f>
        <v>2023</v>
      </c>
      <c r="C276" t="s">
        <v>65</v>
      </c>
      <c r="D276" t="s">
        <v>5</v>
      </c>
      <c r="E276" t="s">
        <v>8</v>
      </c>
      <c r="F276">
        <v>2718</v>
      </c>
      <c r="G276">
        <v>163.16315578428421</v>
      </c>
      <c r="H276" t="str">
        <f>VLOOKUP(Table1[[#This Row],[Manager]],Managers!$A$2:$B$9,2,FALSE)</f>
        <v>Rachella Green</v>
      </c>
      <c r="I276" t="str">
        <f>VLOOKUP(Table1[[#This Row],[Product]],Products!$A$2:$B$11,2,FALSE)</f>
        <v>Traditional English Trifle</v>
      </c>
      <c r="J276" t="str">
        <f>IF(Table1[[#This Row],[Sales]]&gt;4000,"Exceeded the target",IF(AND(Table1[[#This Row],[Sales]]&lt;=4000,Table1[[#This Row],[Sales]]&lt;2500),"Did not meet the target","met the target"))</f>
        <v>met the target</v>
      </c>
      <c r="K276">
        <f>Table1[[#This Row],[Sales]]-Table1[[#This Row],[Commission]]</f>
        <v>2554.8368442157157</v>
      </c>
      <c r="L276">
        <f>Table1[[#This Row],[Sales]]+Table1[[#This Row],[Commission]]-Table1[[#This Row],[Revenue]]</f>
        <v>326.3263115685686</v>
      </c>
      <c r="M276">
        <f>Table1[[#This Row],[Revenue]]-Table1[[#This Row],[Cost]]</f>
        <v>2228.5105326471471</v>
      </c>
    </row>
    <row r="277" spans="1:13" x14ac:dyDescent="0.3">
      <c r="A277" s="1">
        <v>45169</v>
      </c>
      <c r="B277">
        <f>YEAR(Table1[[#This Row],[Date]])</f>
        <v>2023</v>
      </c>
      <c r="C277" t="s">
        <v>66</v>
      </c>
      <c r="D277" t="s">
        <v>5</v>
      </c>
      <c r="E277" t="s">
        <v>9</v>
      </c>
      <c r="F277">
        <v>2445</v>
      </c>
      <c r="G277">
        <v>141.7684408899807</v>
      </c>
      <c r="H277" t="str">
        <f>VLOOKUP(Table1[[#This Row],[Manager]],Managers!$A$2:$B$9,2,FALSE)</f>
        <v>Rachella Green</v>
      </c>
      <c r="I277" t="str">
        <f>VLOOKUP(Table1[[#This Row],[Product]],Products!$A$2:$B$11,2,FALSE)</f>
        <v>Floor Cheesecake</v>
      </c>
      <c r="J277" t="str">
        <f>IF(Table1[[#This Row],[Sales]]&gt;4000,"Exceeded the target",IF(AND(Table1[[#This Row],[Sales]]&lt;=4000,Table1[[#This Row],[Sales]]&lt;2500),"Did not meet the target","met the target"))</f>
        <v>Did not meet the target</v>
      </c>
      <c r="K277">
        <f>Table1[[#This Row],[Sales]]-Table1[[#This Row],[Commission]]</f>
        <v>2303.2315591100191</v>
      </c>
      <c r="L277">
        <f>Table1[[#This Row],[Sales]]+Table1[[#This Row],[Commission]]-Table1[[#This Row],[Revenue]]</f>
        <v>283.53688177996173</v>
      </c>
      <c r="M277">
        <f>Table1[[#This Row],[Revenue]]-Table1[[#This Row],[Cost]]</f>
        <v>2019.6946773300574</v>
      </c>
    </row>
    <row r="278" spans="1:13" x14ac:dyDescent="0.3">
      <c r="A278" s="1">
        <v>45199</v>
      </c>
      <c r="B278">
        <f>YEAR(Table1[[#This Row],[Date]])</f>
        <v>2023</v>
      </c>
      <c r="C278" t="s">
        <v>55</v>
      </c>
      <c r="D278" t="s">
        <v>5</v>
      </c>
      <c r="E278" t="s">
        <v>9</v>
      </c>
      <c r="F278">
        <v>4651</v>
      </c>
      <c r="G278">
        <v>249.7085471064521</v>
      </c>
      <c r="H278" t="str">
        <f>VLOOKUP(Table1[[#This Row],[Manager]],Managers!$A$2:$B$9,2,FALSE)</f>
        <v>Rachella Green</v>
      </c>
      <c r="I278" t="str">
        <f>VLOOKUP(Table1[[#This Row],[Product]],Products!$A$2:$B$11,2,FALSE)</f>
        <v>Floor Cheesecake</v>
      </c>
      <c r="J278" t="str">
        <f>IF(Table1[[#This Row],[Sales]]&gt;4000,"Exceeded the target",IF(AND(Table1[[#This Row],[Sales]]&lt;=4000,Table1[[#This Row],[Sales]]&lt;2500),"Did not meet the target","met the target"))</f>
        <v>Exceeded the target</v>
      </c>
      <c r="K278">
        <f>Table1[[#This Row],[Sales]]-Table1[[#This Row],[Commission]]</f>
        <v>4401.291452893548</v>
      </c>
      <c r="L278">
        <f>Table1[[#This Row],[Sales]]+Table1[[#This Row],[Commission]]-Table1[[#This Row],[Revenue]]</f>
        <v>499.41709421290398</v>
      </c>
      <c r="M278">
        <f>Table1[[#This Row],[Revenue]]-Table1[[#This Row],[Cost]]</f>
        <v>3901.874358680644</v>
      </c>
    </row>
    <row r="279" spans="1:13" x14ac:dyDescent="0.3">
      <c r="A279" s="1">
        <v>45199</v>
      </c>
      <c r="B279">
        <f>YEAR(Table1[[#This Row],[Date]])</f>
        <v>2023</v>
      </c>
      <c r="C279" t="s">
        <v>56</v>
      </c>
      <c r="D279" t="s">
        <v>5</v>
      </c>
      <c r="E279" t="s">
        <v>10</v>
      </c>
      <c r="F279">
        <v>3595</v>
      </c>
      <c r="G279">
        <v>236.8042545526701</v>
      </c>
      <c r="H279" t="str">
        <f>VLOOKUP(Table1[[#This Row],[Manager]],Managers!$A$2:$B$9,2,FALSE)</f>
        <v>Rachella Green</v>
      </c>
      <c r="I279" t="str">
        <f>VLOOKUP(Table1[[#This Row],[Product]],Products!$A$2:$B$11,2,FALSE)</f>
        <v>Mockolate</v>
      </c>
      <c r="J279" t="str">
        <f>IF(Table1[[#This Row],[Sales]]&gt;4000,"Exceeded the target",IF(AND(Table1[[#This Row],[Sales]]&lt;=4000,Table1[[#This Row],[Sales]]&lt;2500),"Did not meet the target","met the target"))</f>
        <v>met the target</v>
      </c>
      <c r="K279">
        <f>Table1[[#This Row],[Sales]]-Table1[[#This Row],[Commission]]</f>
        <v>3358.19574544733</v>
      </c>
      <c r="L279">
        <f>Table1[[#This Row],[Sales]]+Table1[[#This Row],[Commission]]-Table1[[#This Row],[Revenue]]</f>
        <v>473.60850910534009</v>
      </c>
      <c r="M279">
        <f>Table1[[#This Row],[Revenue]]-Table1[[#This Row],[Cost]]</f>
        <v>2884.5872363419899</v>
      </c>
    </row>
    <row r="280" spans="1:13" x14ac:dyDescent="0.3">
      <c r="A280" s="1">
        <v>45199</v>
      </c>
      <c r="B280">
        <f>YEAR(Table1[[#This Row],[Date]])</f>
        <v>2023</v>
      </c>
      <c r="C280" t="s">
        <v>57</v>
      </c>
      <c r="D280" t="s">
        <v>5</v>
      </c>
      <c r="E280" t="s">
        <v>8</v>
      </c>
      <c r="F280">
        <v>2565</v>
      </c>
      <c r="G280">
        <v>105.1468982684154</v>
      </c>
      <c r="H280" t="str">
        <f>VLOOKUP(Table1[[#This Row],[Manager]],Managers!$A$2:$B$9,2,FALSE)</f>
        <v>Rachella Green</v>
      </c>
      <c r="I280" t="str">
        <f>VLOOKUP(Table1[[#This Row],[Product]],Products!$A$2:$B$11,2,FALSE)</f>
        <v>Traditional English Trifle</v>
      </c>
      <c r="J280" t="str">
        <f>IF(Table1[[#This Row],[Sales]]&gt;4000,"Exceeded the target",IF(AND(Table1[[#This Row],[Sales]]&lt;=4000,Table1[[#This Row],[Sales]]&lt;2500),"Did not meet the target","met the target"))</f>
        <v>met the target</v>
      </c>
      <c r="K280">
        <f>Table1[[#This Row],[Sales]]-Table1[[#This Row],[Commission]]</f>
        <v>2459.8531017315845</v>
      </c>
      <c r="L280">
        <f>Table1[[#This Row],[Sales]]+Table1[[#This Row],[Commission]]-Table1[[#This Row],[Revenue]]</f>
        <v>210.293796536831</v>
      </c>
      <c r="M280">
        <f>Table1[[#This Row],[Revenue]]-Table1[[#This Row],[Cost]]</f>
        <v>2249.5593051947535</v>
      </c>
    </row>
    <row r="281" spans="1:13" x14ac:dyDescent="0.3">
      <c r="A281" s="1">
        <v>45230</v>
      </c>
      <c r="B281">
        <f>YEAR(Table1[[#This Row],[Date]])</f>
        <v>2023</v>
      </c>
      <c r="C281" t="s">
        <v>58</v>
      </c>
      <c r="D281" t="s">
        <v>5</v>
      </c>
      <c r="E281" t="s">
        <v>9</v>
      </c>
      <c r="F281">
        <v>4466</v>
      </c>
      <c r="G281">
        <v>288.02458520676561</v>
      </c>
      <c r="H281" t="str">
        <f>VLOOKUP(Table1[[#This Row],[Manager]],Managers!$A$2:$B$9,2,FALSE)</f>
        <v>Rachella Green</v>
      </c>
      <c r="I281" t="str">
        <f>VLOOKUP(Table1[[#This Row],[Product]],Products!$A$2:$B$11,2,FALSE)</f>
        <v>Floor Cheesecake</v>
      </c>
      <c r="J281" t="str">
        <f>IF(Table1[[#This Row],[Sales]]&gt;4000,"Exceeded the target",IF(AND(Table1[[#This Row],[Sales]]&lt;=4000,Table1[[#This Row],[Sales]]&lt;2500),"Did not meet the target","met the target"))</f>
        <v>Exceeded the target</v>
      </c>
      <c r="K281">
        <f>Table1[[#This Row],[Sales]]-Table1[[#This Row],[Commission]]</f>
        <v>4177.9754147932344</v>
      </c>
      <c r="L281">
        <f>Table1[[#This Row],[Sales]]+Table1[[#This Row],[Commission]]-Table1[[#This Row],[Revenue]]</f>
        <v>576.0491704135311</v>
      </c>
      <c r="M281">
        <f>Table1[[#This Row],[Revenue]]-Table1[[#This Row],[Cost]]</f>
        <v>3601.9262443797033</v>
      </c>
    </row>
    <row r="282" spans="1:13" x14ac:dyDescent="0.3">
      <c r="A282" s="1">
        <v>45230</v>
      </c>
      <c r="B282">
        <f>YEAR(Table1[[#This Row],[Date]])</f>
        <v>2023</v>
      </c>
      <c r="C282" t="s">
        <v>59</v>
      </c>
      <c r="D282" t="s">
        <v>5</v>
      </c>
      <c r="E282" t="s">
        <v>8</v>
      </c>
      <c r="F282">
        <v>3825</v>
      </c>
      <c r="G282">
        <v>256.14629129297691</v>
      </c>
      <c r="H282" t="str">
        <f>VLOOKUP(Table1[[#This Row],[Manager]],Managers!$A$2:$B$9,2,FALSE)</f>
        <v>Rachella Green</v>
      </c>
      <c r="I282" t="str">
        <f>VLOOKUP(Table1[[#This Row],[Product]],Products!$A$2:$B$11,2,FALSE)</f>
        <v>Traditional English Trifle</v>
      </c>
      <c r="J282" t="str">
        <f>IF(Table1[[#This Row],[Sales]]&gt;4000,"Exceeded the target",IF(AND(Table1[[#This Row],[Sales]]&lt;=4000,Table1[[#This Row],[Sales]]&lt;2500),"Did not meet the target","met the target"))</f>
        <v>met the target</v>
      </c>
      <c r="K282">
        <f>Table1[[#This Row],[Sales]]-Table1[[#This Row],[Commission]]</f>
        <v>3568.8537087070231</v>
      </c>
      <c r="L282">
        <f>Table1[[#This Row],[Sales]]+Table1[[#This Row],[Commission]]-Table1[[#This Row],[Revenue]]</f>
        <v>512.29258258595382</v>
      </c>
      <c r="M282">
        <f>Table1[[#This Row],[Revenue]]-Table1[[#This Row],[Cost]]</f>
        <v>3056.5611261210693</v>
      </c>
    </row>
    <row r="283" spans="1:13" x14ac:dyDescent="0.3">
      <c r="A283" s="1">
        <v>45230</v>
      </c>
      <c r="B283">
        <f>YEAR(Table1[[#This Row],[Date]])</f>
        <v>2023</v>
      </c>
      <c r="C283" t="s">
        <v>60</v>
      </c>
      <c r="D283" t="s">
        <v>5</v>
      </c>
      <c r="E283" t="s">
        <v>10</v>
      </c>
      <c r="F283">
        <v>4611</v>
      </c>
      <c r="G283">
        <v>147.31043818972651</v>
      </c>
      <c r="H283" t="str">
        <f>VLOOKUP(Table1[[#This Row],[Manager]],Managers!$A$2:$B$9,2,FALSE)</f>
        <v>Rachella Green</v>
      </c>
      <c r="I283" t="str">
        <f>VLOOKUP(Table1[[#This Row],[Product]],Products!$A$2:$B$11,2,FALSE)</f>
        <v>Mockolate</v>
      </c>
      <c r="J283" t="str">
        <f>IF(Table1[[#This Row],[Sales]]&gt;4000,"Exceeded the target",IF(AND(Table1[[#This Row],[Sales]]&lt;=4000,Table1[[#This Row],[Sales]]&lt;2500),"Did not meet the target","met the target"))</f>
        <v>Exceeded the target</v>
      </c>
      <c r="K283">
        <f>Table1[[#This Row],[Sales]]-Table1[[#This Row],[Commission]]</f>
        <v>4463.6895618102735</v>
      </c>
      <c r="L283">
        <f>Table1[[#This Row],[Sales]]+Table1[[#This Row],[Commission]]-Table1[[#This Row],[Revenue]]</f>
        <v>294.62087637945297</v>
      </c>
      <c r="M283">
        <f>Table1[[#This Row],[Revenue]]-Table1[[#This Row],[Cost]]</f>
        <v>4169.0686854308206</v>
      </c>
    </row>
    <row r="284" spans="1:13" x14ac:dyDescent="0.3">
      <c r="A284" s="1">
        <v>45260</v>
      </c>
      <c r="B284">
        <f>YEAR(Table1[[#This Row],[Date]])</f>
        <v>2023</v>
      </c>
      <c r="C284" t="s">
        <v>61</v>
      </c>
      <c r="D284" t="s">
        <v>5</v>
      </c>
      <c r="E284" t="s">
        <v>8</v>
      </c>
      <c r="F284">
        <v>3280</v>
      </c>
      <c r="G284">
        <v>169.73056066224609</v>
      </c>
      <c r="H284" t="str">
        <f>VLOOKUP(Table1[[#This Row],[Manager]],Managers!$A$2:$B$9,2,FALSE)</f>
        <v>Rachella Green</v>
      </c>
      <c r="I284" t="str">
        <f>VLOOKUP(Table1[[#This Row],[Product]],Products!$A$2:$B$11,2,FALSE)</f>
        <v>Traditional English Trifle</v>
      </c>
      <c r="J284" t="str">
        <f>IF(Table1[[#This Row],[Sales]]&gt;4000,"Exceeded the target",IF(AND(Table1[[#This Row],[Sales]]&lt;=4000,Table1[[#This Row],[Sales]]&lt;2500),"Did not meet the target","met the target"))</f>
        <v>met the target</v>
      </c>
      <c r="K284">
        <f>Table1[[#This Row],[Sales]]-Table1[[#This Row],[Commission]]</f>
        <v>3110.2694393377537</v>
      </c>
      <c r="L284">
        <f>Table1[[#This Row],[Sales]]+Table1[[#This Row],[Commission]]-Table1[[#This Row],[Revenue]]</f>
        <v>339.46112132449252</v>
      </c>
      <c r="M284">
        <f>Table1[[#This Row],[Revenue]]-Table1[[#This Row],[Cost]]</f>
        <v>2770.8083180132612</v>
      </c>
    </row>
    <row r="285" spans="1:13" x14ac:dyDescent="0.3">
      <c r="A285" s="1">
        <v>45260</v>
      </c>
      <c r="B285">
        <f>YEAR(Table1[[#This Row],[Date]])</f>
        <v>2023</v>
      </c>
      <c r="C285" t="s">
        <v>62</v>
      </c>
      <c r="D285" t="s">
        <v>5</v>
      </c>
      <c r="E285" t="s">
        <v>10</v>
      </c>
      <c r="F285">
        <v>3084</v>
      </c>
      <c r="G285">
        <v>96.249821427618016</v>
      </c>
      <c r="H285" t="str">
        <f>VLOOKUP(Table1[[#This Row],[Manager]],Managers!$A$2:$B$9,2,FALSE)</f>
        <v>Rachella Green</v>
      </c>
      <c r="I285" t="str">
        <f>VLOOKUP(Table1[[#This Row],[Product]],Products!$A$2:$B$11,2,FALSE)</f>
        <v>Mockolate</v>
      </c>
      <c r="J285" t="str">
        <f>IF(Table1[[#This Row],[Sales]]&gt;4000,"Exceeded the target",IF(AND(Table1[[#This Row],[Sales]]&lt;=4000,Table1[[#This Row],[Sales]]&lt;2500),"Did not meet the target","met the target"))</f>
        <v>met the target</v>
      </c>
      <c r="K285">
        <f>Table1[[#This Row],[Sales]]-Table1[[#This Row],[Commission]]</f>
        <v>2987.7501785723821</v>
      </c>
      <c r="L285">
        <f>Table1[[#This Row],[Sales]]+Table1[[#This Row],[Commission]]-Table1[[#This Row],[Revenue]]</f>
        <v>192.49964285523583</v>
      </c>
      <c r="M285">
        <f>Table1[[#This Row],[Revenue]]-Table1[[#This Row],[Cost]]</f>
        <v>2795.2505357171462</v>
      </c>
    </row>
    <row r="286" spans="1:13" x14ac:dyDescent="0.3">
      <c r="A286" s="1">
        <v>45260</v>
      </c>
      <c r="B286">
        <f>YEAR(Table1[[#This Row],[Date]])</f>
        <v>2023</v>
      </c>
      <c r="C286" t="s">
        <v>63</v>
      </c>
      <c r="D286" t="s">
        <v>5</v>
      </c>
      <c r="E286" t="s">
        <v>9</v>
      </c>
      <c r="F286">
        <v>1767</v>
      </c>
      <c r="G286">
        <v>72.991211328830531</v>
      </c>
      <c r="H286" t="str">
        <f>VLOOKUP(Table1[[#This Row],[Manager]],Managers!$A$2:$B$9,2,FALSE)</f>
        <v>Rachella Green</v>
      </c>
      <c r="I286" t="str">
        <f>VLOOKUP(Table1[[#This Row],[Product]],Products!$A$2:$B$11,2,FALSE)</f>
        <v>Floor Cheesecake</v>
      </c>
      <c r="J286" t="str">
        <f>IF(Table1[[#This Row],[Sales]]&gt;4000,"Exceeded the target",IF(AND(Table1[[#This Row],[Sales]]&lt;=4000,Table1[[#This Row],[Sales]]&lt;2500),"Did not meet the target","met the target"))</f>
        <v>Did not meet the target</v>
      </c>
      <c r="K286">
        <f>Table1[[#This Row],[Sales]]-Table1[[#This Row],[Commission]]</f>
        <v>1694.0087886711694</v>
      </c>
      <c r="L286">
        <f>Table1[[#This Row],[Sales]]+Table1[[#This Row],[Commission]]-Table1[[#This Row],[Revenue]]</f>
        <v>145.98242265766112</v>
      </c>
      <c r="M286">
        <f>Table1[[#This Row],[Revenue]]-Table1[[#This Row],[Cost]]</f>
        <v>1548.0263660135083</v>
      </c>
    </row>
    <row r="287" spans="1:13" x14ac:dyDescent="0.3">
      <c r="A287" s="1">
        <v>45291</v>
      </c>
      <c r="B287">
        <f>YEAR(Table1[[#This Row],[Date]])</f>
        <v>2023</v>
      </c>
      <c r="C287" t="s">
        <v>64</v>
      </c>
      <c r="D287" t="s">
        <v>5</v>
      </c>
      <c r="E287" t="s">
        <v>10</v>
      </c>
      <c r="F287">
        <v>3339</v>
      </c>
      <c r="G287">
        <v>193.0302619886298</v>
      </c>
      <c r="H287" t="str">
        <f>VLOOKUP(Table1[[#This Row],[Manager]],Managers!$A$2:$B$9,2,FALSE)</f>
        <v>Rachella Green</v>
      </c>
      <c r="I287" t="str">
        <f>VLOOKUP(Table1[[#This Row],[Product]],Products!$A$2:$B$11,2,FALSE)</f>
        <v>Mockolate</v>
      </c>
      <c r="J287" t="str">
        <f>IF(Table1[[#This Row],[Sales]]&gt;4000,"Exceeded the target",IF(AND(Table1[[#This Row],[Sales]]&lt;=4000,Table1[[#This Row],[Sales]]&lt;2500),"Did not meet the target","met the target"))</f>
        <v>met the target</v>
      </c>
      <c r="K287">
        <f>Table1[[#This Row],[Sales]]-Table1[[#This Row],[Commission]]</f>
        <v>3145.9697380113703</v>
      </c>
      <c r="L287">
        <f>Table1[[#This Row],[Sales]]+Table1[[#This Row],[Commission]]-Table1[[#This Row],[Revenue]]</f>
        <v>386.06052397725944</v>
      </c>
      <c r="M287">
        <f>Table1[[#This Row],[Revenue]]-Table1[[#This Row],[Cost]]</f>
        <v>2759.9092140341108</v>
      </c>
    </row>
    <row r="288" spans="1:13" x14ac:dyDescent="0.3">
      <c r="A288" s="1">
        <v>45291</v>
      </c>
      <c r="B288">
        <f>YEAR(Table1[[#This Row],[Date]])</f>
        <v>2023</v>
      </c>
      <c r="C288" t="s">
        <v>65</v>
      </c>
      <c r="D288" t="s">
        <v>5</v>
      </c>
      <c r="E288" t="s">
        <v>9</v>
      </c>
      <c r="F288">
        <v>2392</v>
      </c>
      <c r="G288">
        <v>126.98077854786629</v>
      </c>
      <c r="H288" t="str">
        <f>VLOOKUP(Table1[[#This Row],[Manager]],Managers!$A$2:$B$9,2,FALSE)</f>
        <v>Rachella Green</v>
      </c>
      <c r="I288" t="str">
        <f>VLOOKUP(Table1[[#This Row],[Product]],Products!$A$2:$B$11,2,FALSE)</f>
        <v>Floor Cheesecake</v>
      </c>
      <c r="J288" t="str">
        <f>IF(Table1[[#This Row],[Sales]]&gt;4000,"Exceeded the target",IF(AND(Table1[[#This Row],[Sales]]&lt;=4000,Table1[[#This Row],[Sales]]&lt;2500),"Did not meet the target","met the target"))</f>
        <v>Did not meet the target</v>
      </c>
      <c r="K288">
        <f>Table1[[#This Row],[Sales]]-Table1[[#This Row],[Commission]]</f>
        <v>2265.0192214521339</v>
      </c>
      <c r="L288">
        <f>Table1[[#This Row],[Sales]]+Table1[[#This Row],[Commission]]-Table1[[#This Row],[Revenue]]</f>
        <v>253.96155709573213</v>
      </c>
      <c r="M288">
        <f>Table1[[#This Row],[Revenue]]-Table1[[#This Row],[Cost]]</f>
        <v>2011.0576643564018</v>
      </c>
    </row>
    <row r="289" spans="1:13" x14ac:dyDescent="0.3">
      <c r="A289" s="1">
        <v>45291</v>
      </c>
      <c r="B289">
        <f>YEAR(Table1[[#This Row],[Date]])</f>
        <v>2023</v>
      </c>
      <c r="C289" t="s">
        <v>66</v>
      </c>
      <c r="D289" t="s">
        <v>5</v>
      </c>
      <c r="E289" t="s">
        <v>8</v>
      </c>
      <c r="F289">
        <v>3257</v>
      </c>
      <c r="G289">
        <v>112.7838172378538</v>
      </c>
      <c r="H289" t="str">
        <f>VLOOKUP(Table1[[#This Row],[Manager]],Managers!$A$2:$B$9,2,FALSE)</f>
        <v>Rachella Green</v>
      </c>
      <c r="I289" t="str">
        <f>VLOOKUP(Table1[[#This Row],[Product]],Products!$A$2:$B$11,2,FALSE)</f>
        <v>Traditional English Trifle</v>
      </c>
      <c r="J289" t="str">
        <f>IF(Table1[[#This Row],[Sales]]&gt;4000,"Exceeded the target",IF(AND(Table1[[#This Row],[Sales]]&lt;=4000,Table1[[#This Row],[Sales]]&lt;2500),"Did not meet the target","met the target"))</f>
        <v>met the target</v>
      </c>
      <c r="K289">
        <f>Table1[[#This Row],[Sales]]-Table1[[#This Row],[Commission]]</f>
        <v>3144.2161827621462</v>
      </c>
      <c r="L289">
        <f>Table1[[#This Row],[Sales]]+Table1[[#This Row],[Commission]]-Table1[[#This Row],[Revenue]]</f>
        <v>225.56763447570756</v>
      </c>
      <c r="M289">
        <f>Table1[[#This Row],[Revenue]]-Table1[[#This Row],[Cost]]</f>
        <v>2918.6485482864387</v>
      </c>
    </row>
    <row r="290" spans="1:13" x14ac:dyDescent="0.3">
      <c r="A290" s="1">
        <v>44957</v>
      </c>
      <c r="B290">
        <f>YEAR(Table1[[#This Row],[Date]])</f>
        <v>2023</v>
      </c>
      <c r="C290" t="s">
        <v>55</v>
      </c>
      <c r="D290" t="s">
        <v>6</v>
      </c>
      <c r="E290" t="s">
        <v>8</v>
      </c>
      <c r="F290">
        <v>2395</v>
      </c>
      <c r="G290">
        <v>132.7846491118361</v>
      </c>
      <c r="H290" t="str">
        <f>VLOOKUP(Table1[[#This Row],[Manager]],Managers!$A$2:$B$9,2,FALSE)</f>
        <v>Ken Adams</v>
      </c>
      <c r="I290" t="str">
        <f>VLOOKUP(Table1[[#This Row],[Product]],Products!$A$2:$B$11,2,FALSE)</f>
        <v>Traditional English Trifle</v>
      </c>
      <c r="J290" t="str">
        <f>IF(Table1[[#This Row],[Sales]]&gt;4000,"Exceeded the target",IF(AND(Table1[[#This Row],[Sales]]&lt;=4000,Table1[[#This Row],[Sales]]&lt;2500),"Did not meet the target","met the target"))</f>
        <v>Did not meet the target</v>
      </c>
      <c r="K290">
        <f>Table1[[#This Row],[Sales]]-Table1[[#This Row],[Commission]]</f>
        <v>2262.2153508881638</v>
      </c>
      <c r="L290">
        <f>Table1[[#This Row],[Sales]]+Table1[[#This Row],[Commission]]-Table1[[#This Row],[Revenue]]</f>
        <v>265.56929822367238</v>
      </c>
      <c r="M290">
        <f>Table1[[#This Row],[Revenue]]-Table1[[#This Row],[Cost]]</f>
        <v>1996.6460526644914</v>
      </c>
    </row>
    <row r="291" spans="1:13" x14ac:dyDescent="0.3">
      <c r="A291" s="1">
        <v>44957</v>
      </c>
      <c r="B291">
        <f>YEAR(Table1[[#This Row],[Date]])</f>
        <v>2023</v>
      </c>
      <c r="C291" t="s">
        <v>56</v>
      </c>
      <c r="D291" t="s">
        <v>6</v>
      </c>
      <c r="E291" t="s">
        <v>10</v>
      </c>
      <c r="F291">
        <v>3492</v>
      </c>
      <c r="G291">
        <v>127.1840627247406</v>
      </c>
      <c r="H291" t="str">
        <f>VLOOKUP(Table1[[#This Row],[Manager]],Managers!$A$2:$B$9,2,FALSE)</f>
        <v>Ken Adams</v>
      </c>
      <c r="I291" t="str">
        <f>VLOOKUP(Table1[[#This Row],[Product]],Products!$A$2:$B$11,2,FALSE)</f>
        <v>Mockolate</v>
      </c>
      <c r="J291" t="str">
        <f>IF(Table1[[#This Row],[Sales]]&gt;4000,"Exceeded the target",IF(AND(Table1[[#This Row],[Sales]]&lt;=4000,Table1[[#This Row],[Sales]]&lt;2500),"Did not meet the target","met the target"))</f>
        <v>met the target</v>
      </c>
      <c r="K291">
        <f>Table1[[#This Row],[Sales]]-Table1[[#This Row],[Commission]]</f>
        <v>3364.8159372752593</v>
      </c>
      <c r="L291">
        <f>Table1[[#This Row],[Sales]]+Table1[[#This Row],[Commission]]-Table1[[#This Row],[Revenue]]</f>
        <v>254.36812544948134</v>
      </c>
      <c r="M291">
        <f>Table1[[#This Row],[Revenue]]-Table1[[#This Row],[Cost]]</f>
        <v>3110.447811825778</v>
      </c>
    </row>
    <row r="292" spans="1:13" x14ac:dyDescent="0.3">
      <c r="A292" s="1">
        <v>44957</v>
      </c>
      <c r="B292">
        <f>YEAR(Table1[[#This Row],[Date]])</f>
        <v>2023</v>
      </c>
      <c r="C292" t="s">
        <v>57</v>
      </c>
      <c r="D292" t="s">
        <v>6</v>
      </c>
      <c r="E292" t="s">
        <v>9</v>
      </c>
      <c r="F292">
        <v>2208</v>
      </c>
      <c r="G292">
        <v>87.438590544895959</v>
      </c>
      <c r="H292" t="str">
        <f>VLOOKUP(Table1[[#This Row],[Manager]],Managers!$A$2:$B$9,2,FALSE)</f>
        <v>Ken Adams</v>
      </c>
      <c r="I292" t="str">
        <f>VLOOKUP(Table1[[#This Row],[Product]],Products!$A$2:$B$11,2,FALSE)</f>
        <v>Floor Cheesecake</v>
      </c>
      <c r="J292" t="str">
        <f>IF(Table1[[#This Row],[Sales]]&gt;4000,"Exceeded the target",IF(AND(Table1[[#This Row],[Sales]]&lt;=4000,Table1[[#This Row],[Sales]]&lt;2500),"Did not meet the target","met the target"))</f>
        <v>Did not meet the target</v>
      </c>
      <c r="K292">
        <f>Table1[[#This Row],[Sales]]-Table1[[#This Row],[Commission]]</f>
        <v>2120.5614094551042</v>
      </c>
      <c r="L292">
        <f>Table1[[#This Row],[Sales]]+Table1[[#This Row],[Commission]]-Table1[[#This Row],[Revenue]]</f>
        <v>174.87718108979152</v>
      </c>
      <c r="M292">
        <f>Table1[[#This Row],[Revenue]]-Table1[[#This Row],[Cost]]</f>
        <v>1945.6842283653127</v>
      </c>
    </row>
    <row r="293" spans="1:13" x14ac:dyDescent="0.3">
      <c r="A293" s="1">
        <v>44985</v>
      </c>
      <c r="B293">
        <f>YEAR(Table1[[#This Row],[Date]])</f>
        <v>2023</v>
      </c>
      <c r="C293" t="s">
        <v>58</v>
      </c>
      <c r="D293" t="s">
        <v>6</v>
      </c>
      <c r="E293" t="s">
        <v>8</v>
      </c>
      <c r="F293">
        <v>3344</v>
      </c>
      <c r="G293">
        <v>184.44145520889299</v>
      </c>
      <c r="H293" t="str">
        <f>VLOOKUP(Table1[[#This Row],[Manager]],Managers!$A$2:$B$9,2,FALSE)</f>
        <v>Ken Adams</v>
      </c>
      <c r="I293" t="str">
        <f>VLOOKUP(Table1[[#This Row],[Product]],Products!$A$2:$B$11,2,FALSE)</f>
        <v>Traditional English Trifle</v>
      </c>
      <c r="J293" t="str">
        <f>IF(Table1[[#This Row],[Sales]]&gt;4000,"Exceeded the target",IF(AND(Table1[[#This Row],[Sales]]&lt;=4000,Table1[[#This Row],[Sales]]&lt;2500),"Did not meet the target","met the target"))</f>
        <v>met the target</v>
      </c>
      <c r="K293">
        <f>Table1[[#This Row],[Sales]]-Table1[[#This Row],[Commission]]</f>
        <v>3159.5585447911071</v>
      </c>
      <c r="L293">
        <f>Table1[[#This Row],[Sales]]+Table1[[#This Row],[Commission]]-Table1[[#This Row],[Revenue]]</f>
        <v>368.88291041778575</v>
      </c>
      <c r="M293">
        <f>Table1[[#This Row],[Revenue]]-Table1[[#This Row],[Cost]]</f>
        <v>2790.6756343733214</v>
      </c>
    </row>
    <row r="294" spans="1:13" x14ac:dyDescent="0.3">
      <c r="A294" s="1">
        <v>44985</v>
      </c>
      <c r="B294">
        <f>YEAR(Table1[[#This Row],[Date]])</f>
        <v>2023</v>
      </c>
      <c r="C294" t="s">
        <v>59</v>
      </c>
      <c r="D294" t="s">
        <v>6</v>
      </c>
      <c r="E294" t="s">
        <v>10</v>
      </c>
      <c r="F294">
        <v>4091</v>
      </c>
      <c r="G294">
        <v>132.99234746910031</v>
      </c>
      <c r="H294" t="str">
        <f>VLOOKUP(Table1[[#This Row],[Manager]],Managers!$A$2:$B$9,2,FALSE)</f>
        <v>Ken Adams</v>
      </c>
      <c r="I294" t="str">
        <f>VLOOKUP(Table1[[#This Row],[Product]],Products!$A$2:$B$11,2,FALSE)</f>
        <v>Mockolate</v>
      </c>
      <c r="J294" t="str">
        <f>IF(Table1[[#This Row],[Sales]]&gt;4000,"Exceeded the target",IF(AND(Table1[[#This Row],[Sales]]&lt;=4000,Table1[[#This Row],[Sales]]&lt;2500),"Did not meet the target","met the target"))</f>
        <v>Exceeded the target</v>
      </c>
      <c r="K294">
        <f>Table1[[#This Row],[Sales]]-Table1[[#This Row],[Commission]]</f>
        <v>3958.0076525308996</v>
      </c>
      <c r="L294">
        <f>Table1[[#This Row],[Sales]]+Table1[[#This Row],[Commission]]-Table1[[#This Row],[Revenue]]</f>
        <v>265.98469493820085</v>
      </c>
      <c r="M294">
        <f>Table1[[#This Row],[Revenue]]-Table1[[#This Row],[Cost]]</f>
        <v>3692.0229575926987</v>
      </c>
    </row>
    <row r="295" spans="1:13" x14ac:dyDescent="0.3">
      <c r="A295" s="1">
        <v>44985</v>
      </c>
      <c r="B295">
        <f>YEAR(Table1[[#This Row],[Date]])</f>
        <v>2023</v>
      </c>
      <c r="C295" t="s">
        <v>60</v>
      </c>
      <c r="D295" t="s">
        <v>6</v>
      </c>
      <c r="E295" t="s">
        <v>9</v>
      </c>
      <c r="F295">
        <v>2352</v>
      </c>
      <c r="G295">
        <v>108.0446950509392</v>
      </c>
      <c r="H295" t="str">
        <f>VLOOKUP(Table1[[#This Row],[Manager]],Managers!$A$2:$B$9,2,FALSE)</f>
        <v>Ken Adams</v>
      </c>
      <c r="I295" t="str">
        <f>VLOOKUP(Table1[[#This Row],[Product]],Products!$A$2:$B$11,2,FALSE)</f>
        <v>Floor Cheesecake</v>
      </c>
      <c r="J295" t="str">
        <f>IF(Table1[[#This Row],[Sales]]&gt;4000,"Exceeded the target",IF(AND(Table1[[#This Row],[Sales]]&lt;=4000,Table1[[#This Row],[Sales]]&lt;2500),"Did not meet the target","met the target"))</f>
        <v>Did not meet the target</v>
      </c>
      <c r="K295">
        <f>Table1[[#This Row],[Sales]]-Table1[[#This Row],[Commission]]</f>
        <v>2243.955304949061</v>
      </c>
      <c r="L295">
        <f>Table1[[#This Row],[Sales]]+Table1[[#This Row],[Commission]]-Table1[[#This Row],[Revenue]]</f>
        <v>216.08939010187805</v>
      </c>
      <c r="M295">
        <f>Table1[[#This Row],[Revenue]]-Table1[[#This Row],[Cost]]</f>
        <v>2027.8659148471829</v>
      </c>
    </row>
    <row r="296" spans="1:13" x14ac:dyDescent="0.3">
      <c r="A296" s="1">
        <v>45016</v>
      </c>
      <c r="B296">
        <f>YEAR(Table1[[#This Row],[Date]])</f>
        <v>2023</v>
      </c>
      <c r="C296" t="s">
        <v>61</v>
      </c>
      <c r="D296" t="s">
        <v>6</v>
      </c>
      <c r="E296" t="s">
        <v>9</v>
      </c>
      <c r="F296">
        <v>3187</v>
      </c>
      <c r="G296">
        <v>206.45239787408471</v>
      </c>
      <c r="H296" t="str">
        <f>VLOOKUP(Table1[[#This Row],[Manager]],Managers!$A$2:$B$9,2,FALSE)</f>
        <v>Ken Adams</v>
      </c>
      <c r="I296" t="str">
        <f>VLOOKUP(Table1[[#This Row],[Product]],Products!$A$2:$B$11,2,FALSE)</f>
        <v>Floor Cheesecake</v>
      </c>
      <c r="J296" t="str">
        <f>IF(Table1[[#This Row],[Sales]]&gt;4000,"Exceeded the target",IF(AND(Table1[[#This Row],[Sales]]&lt;=4000,Table1[[#This Row],[Sales]]&lt;2500),"Did not meet the target","met the target"))</f>
        <v>met the target</v>
      </c>
      <c r="K296">
        <f>Table1[[#This Row],[Sales]]-Table1[[#This Row],[Commission]]</f>
        <v>2980.5476021259151</v>
      </c>
      <c r="L296">
        <f>Table1[[#This Row],[Sales]]+Table1[[#This Row],[Commission]]-Table1[[#This Row],[Revenue]]</f>
        <v>412.90479574816982</v>
      </c>
      <c r="M296">
        <f>Table1[[#This Row],[Revenue]]-Table1[[#This Row],[Cost]]</f>
        <v>2567.6428063777453</v>
      </c>
    </row>
    <row r="297" spans="1:13" x14ac:dyDescent="0.3">
      <c r="A297" s="1">
        <v>45016</v>
      </c>
      <c r="B297">
        <f>YEAR(Table1[[#This Row],[Date]])</f>
        <v>2023</v>
      </c>
      <c r="C297" t="s">
        <v>62</v>
      </c>
      <c r="D297" t="s">
        <v>6</v>
      </c>
      <c r="E297" t="s">
        <v>8</v>
      </c>
      <c r="F297">
        <v>1749</v>
      </c>
      <c r="G297">
        <v>118.6032952821964</v>
      </c>
      <c r="H297" t="str">
        <f>VLOOKUP(Table1[[#This Row],[Manager]],Managers!$A$2:$B$9,2,FALSE)</f>
        <v>Ken Adams</v>
      </c>
      <c r="I297" t="str">
        <f>VLOOKUP(Table1[[#This Row],[Product]],Products!$A$2:$B$11,2,FALSE)</f>
        <v>Traditional English Trifle</v>
      </c>
      <c r="J297" t="str">
        <f>IF(Table1[[#This Row],[Sales]]&gt;4000,"Exceeded the target",IF(AND(Table1[[#This Row],[Sales]]&lt;=4000,Table1[[#This Row],[Sales]]&lt;2500),"Did not meet the target","met the target"))</f>
        <v>Did not meet the target</v>
      </c>
      <c r="K297">
        <f>Table1[[#This Row],[Sales]]-Table1[[#This Row],[Commission]]</f>
        <v>1630.3967047178037</v>
      </c>
      <c r="L297">
        <f>Table1[[#This Row],[Sales]]+Table1[[#This Row],[Commission]]-Table1[[#This Row],[Revenue]]</f>
        <v>237.20659056439263</v>
      </c>
      <c r="M297">
        <f>Table1[[#This Row],[Revenue]]-Table1[[#This Row],[Cost]]</f>
        <v>1393.1901141534111</v>
      </c>
    </row>
    <row r="298" spans="1:13" x14ac:dyDescent="0.3">
      <c r="A298" s="1">
        <v>45016</v>
      </c>
      <c r="B298">
        <f>YEAR(Table1[[#This Row],[Date]])</f>
        <v>2023</v>
      </c>
      <c r="C298" t="s">
        <v>63</v>
      </c>
      <c r="D298" t="s">
        <v>6</v>
      </c>
      <c r="E298" t="s">
        <v>10</v>
      </c>
      <c r="F298">
        <v>2020</v>
      </c>
      <c r="G298">
        <v>97.296321670130197</v>
      </c>
      <c r="H298" t="str">
        <f>VLOOKUP(Table1[[#This Row],[Manager]],Managers!$A$2:$B$9,2,FALSE)</f>
        <v>Ken Adams</v>
      </c>
      <c r="I298" t="str">
        <f>VLOOKUP(Table1[[#This Row],[Product]],Products!$A$2:$B$11,2,FALSE)</f>
        <v>Mockolate</v>
      </c>
      <c r="J298" t="str">
        <f>IF(Table1[[#This Row],[Sales]]&gt;4000,"Exceeded the target",IF(AND(Table1[[#This Row],[Sales]]&lt;=4000,Table1[[#This Row],[Sales]]&lt;2500),"Did not meet the target","met the target"))</f>
        <v>Did not meet the target</v>
      </c>
      <c r="K298">
        <f>Table1[[#This Row],[Sales]]-Table1[[#This Row],[Commission]]</f>
        <v>1922.7036783298697</v>
      </c>
      <c r="L298">
        <f>Table1[[#This Row],[Sales]]+Table1[[#This Row],[Commission]]-Table1[[#This Row],[Revenue]]</f>
        <v>194.59264334026034</v>
      </c>
      <c r="M298">
        <f>Table1[[#This Row],[Revenue]]-Table1[[#This Row],[Cost]]</f>
        <v>1728.1110349896094</v>
      </c>
    </row>
    <row r="299" spans="1:13" x14ac:dyDescent="0.3">
      <c r="A299" s="1">
        <v>45046</v>
      </c>
      <c r="B299">
        <f>YEAR(Table1[[#This Row],[Date]])</f>
        <v>2023</v>
      </c>
      <c r="C299" t="s">
        <v>64</v>
      </c>
      <c r="D299" t="s">
        <v>6</v>
      </c>
      <c r="E299" t="s">
        <v>10</v>
      </c>
      <c r="F299">
        <v>2913</v>
      </c>
      <c r="G299">
        <v>200.9103339175592</v>
      </c>
      <c r="H299" t="str">
        <f>VLOOKUP(Table1[[#This Row],[Manager]],Managers!$A$2:$B$9,2,FALSE)</f>
        <v>Ken Adams</v>
      </c>
      <c r="I299" t="str">
        <f>VLOOKUP(Table1[[#This Row],[Product]],Products!$A$2:$B$11,2,FALSE)</f>
        <v>Mockolate</v>
      </c>
      <c r="J299" t="str">
        <f>IF(Table1[[#This Row],[Sales]]&gt;4000,"Exceeded the target",IF(AND(Table1[[#This Row],[Sales]]&lt;=4000,Table1[[#This Row],[Sales]]&lt;2500),"Did not meet the target","met the target"))</f>
        <v>met the target</v>
      </c>
      <c r="K299">
        <f>Table1[[#This Row],[Sales]]-Table1[[#This Row],[Commission]]</f>
        <v>2712.089666082441</v>
      </c>
      <c r="L299">
        <f>Table1[[#This Row],[Sales]]+Table1[[#This Row],[Commission]]-Table1[[#This Row],[Revenue]]</f>
        <v>401.820667835118</v>
      </c>
      <c r="M299">
        <f>Table1[[#This Row],[Revenue]]-Table1[[#This Row],[Cost]]</f>
        <v>2310.268998247323</v>
      </c>
    </row>
    <row r="300" spans="1:13" x14ac:dyDescent="0.3">
      <c r="A300" s="1">
        <v>45046</v>
      </c>
      <c r="B300">
        <f>YEAR(Table1[[#This Row],[Date]])</f>
        <v>2023</v>
      </c>
      <c r="C300" t="s">
        <v>65</v>
      </c>
      <c r="D300" t="s">
        <v>6</v>
      </c>
      <c r="E300" t="s">
        <v>9</v>
      </c>
      <c r="F300">
        <v>1956</v>
      </c>
      <c r="G300">
        <v>107.0698955042774</v>
      </c>
      <c r="H300" t="str">
        <f>VLOOKUP(Table1[[#This Row],[Manager]],Managers!$A$2:$B$9,2,FALSE)</f>
        <v>Ken Adams</v>
      </c>
      <c r="I300" t="str">
        <f>VLOOKUP(Table1[[#This Row],[Product]],Products!$A$2:$B$11,2,FALSE)</f>
        <v>Floor Cheesecake</v>
      </c>
      <c r="J300" t="str">
        <f>IF(Table1[[#This Row],[Sales]]&gt;4000,"Exceeded the target",IF(AND(Table1[[#This Row],[Sales]]&lt;=4000,Table1[[#This Row],[Sales]]&lt;2500),"Did not meet the target","met the target"))</f>
        <v>Did not meet the target</v>
      </c>
      <c r="K300">
        <f>Table1[[#This Row],[Sales]]-Table1[[#This Row],[Commission]]</f>
        <v>1848.9301044957226</v>
      </c>
      <c r="L300">
        <f>Table1[[#This Row],[Sales]]+Table1[[#This Row],[Commission]]-Table1[[#This Row],[Revenue]]</f>
        <v>214.13979100855499</v>
      </c>
      <c r="M300">
        <f>Table1[[#This Row],[Revenue]]-Table1[[#This Row],[Cost]]</f>
        <v>1634.7903134871676</v>
      </c>
    </row>
    <row r="301" spans="1:13" x14ac:dyDescent="0.3">
      <c r="A301" s="1">
        <v>45046</v>
      </c>
      <c r="B301">
        <f>YEAR(Table1[[#This Row],[Date]])</f>
        <v>2023</v>
      </c>
      <c r="C301" t="s">
        <v>66</v>
      </c>
      <c r="D301" t="s">
        <v>6</v>
      </c>
      <c r="E301" t="s">
        <v>8</v>
      </c>
      <c r="F301">
        <v>2488</v>
      </c>
      <c r="G301">
        <v>86.132997251248199</v>
      </c>
      <c r="H301" t="str">
        <f>VLOOKUP(Table1[[#This Row],[Manager]],Managers!$A$2:$B$9,2,FALSE)</f>
        <v>Ken Adams</v>
      </c>
      <c r="I301" t="str">
        <f>VLOOKUP(Table1[[#This Row],[Product]],Products!$A$2:$B$11,2,FALSE)</f>
        <v>Traditional English Trifle</v>
      </c>
      <c r="J301" t="str">
        <f>IF(Table1[[#This Row],[Sales]]&gt;4000,"Exceeded the target",IF(AND(Table1[[#This Row],[Sales]]&lt;=4000,Table1[[#This Row],[Sales]]&lt;2500),"Did not meet the target","met the target"))</f>
        <v>Did not meet the target</v>
      </c>
      <c r="K301">
        <f>Table1[[#This Row],[Sales]]-Table1[[#This Row],[Commission]]</f>
        <v>2401.8670027487519</v>
      </c>
      <c r="L301">
        <f>Table1[[#This Row],[Sales]]+Table1[[#This Row],[Commission]]-Table1[[#This Row],[Revenue]]</f>
        <v>172.26599450249614</v>
      </c>
      <c r="M301">
        <f>Table1[[#This Row],[Revenue]]-Table1[[#This Row],[Cost]]</f>
        <v>2229.6010082462558</v>
      </c>
    </row>
    <row r="302" spans="1:13" x14ac:dyDescent="0.3">
      <c r="A302" s="1">
        <v>45077</v>
      </c>
      <c r="B302">
        <f>YEAR(Table1[[#This Row],[Date]])</f>
        <v>2023</v>
      </c>
      <c r="C302" t="s">
        <v>55</v>
      </c>
      <c r="D302" t="s">
        <v>6</v>
      </c>
      <c r="E302" t="s">
        <v>9</v>
      </c>
      <c r="F302">
        <v>3335</v>
      </c>
      <c r="G302">
        <v>169.05895619478531</v>
      </c>
      <c r="H302" t="str">
        <f>VLOOKUP(Table1[[#This Row],[Manager]],Managers!$A$2:$B$9,2,FALSE)</f>
        <v>Ken Adams</v>
      </c>
      <c r="I302" t="str">
        <f>VLOOKUP(Table1[[#This Row],[Product]],Products!$A$2:$B$11,2,FALSE)</f>
        <v>Floor Cheesecake</v>
      </c>
      <c r="J302" t="str">
        <f>IF(Table1[[#This Row],[Sales]]&gt;4000,"Exceeded the target",IF(AND(Table1[[#This Row],[Sales]]&lt;=4000,Table1[[#This Row],[Sales]]&lt;2500),"Did not meet the target","met the target"))</f>
        <v>met the target</v>
      </c>
      <c r="K302">
        <f>Table1[[#This Row],[Sales]]-Table1[[#This Row],[Commission]]</f>
        <v>3165.9410438052146</v>
      </c>
      <c r="L302">
        <f>Table1[[#This Row],[Sales]]+Table1[[#This Row],[Commission]]-Table1[[#This Row],[Revenue]]</f>
        <v>338.11791238957085</v>
      </c>
      <c r="M302">
        <f>Table1[[#This Row],[Revenue]]-Table1[[#This Row],[Cost]]</f>
        <v>2827.8231314156437</v>
      </c>
    </row>
    <row r="303" spans="1:13" x14ac:dyDescent="0.3">
      <c r="A303" s="1">
        <v>45077</v>
      </c>
      <c r="B303">
        <f>YEAR(Table1[[#This Row],[Date]])</f>
        <v>2023</v>
      </c>
      <c r="C303" t="s">
        <v>56</v>
      </c>
      <c r="D303" t="s">
        <v>6</v>
      </c>
      <c r="E303" t="s">
        <v>8</v>
      </c>
      <c r="F303">
        <v>1469</v>
      </c>
      <c r="G303">
        <v>83.195881747777875</v>
      </c>
      <c r="H303" t="str">
        <f>VLOOKUP(Table1[[#This Row],[Manager]],Managers!$A$2:$B$9,2,FALSE)</f>
        <v>Ken Adams</v>
      </c>
      <c r="I303" t="str">
        <f>VLOOKUP(Table1[[#This Row],[Product]],Products!$A$2:$B$11,2,FALSE)</f>
        <v>Traditional English Trifle</v>
      </c>
      <c r="J303" t="str">
        <f>IF(Table1[[#This Row],[Sales]]&gt;4000,"Exceeded the target",IF(AND(Table1[[#This Row],[Sales]]&lt;=4000,Table1[[#This Row],[Sales]]&lt;2500),"Did not meet the target","met the target"))</f>
        <v>Did not meet the target</v>
      </c>
      <c r="K303">
        <f>Table1[[#This Row],[Sales]]-Table1[[#This Row],[Commission]]</f>
        <v>1385.8041182522222</v>
      </c>
      <c r="L303">
        <f>Table1[[#This Row],[Sales]]+Table1[[#This Row],[Commission]]-Table1[[#This Row],[Revenue]]</f>
        <v>166.39176349555555</v>
      </c>
      <c r="M303">
        <f>Table1[[#This Row],[Revenue]]-Table1[[#This Row],[Cost]]</f>
        <v>1219.4123547566667</v>
      </c>
    </row>
    <row r="304" spans="1:13" x14ac:dyDescent="0.3">
      <c r="A304" s="1">
        <v>45077</v>
      </c>
      <c r="B304">
        <f>YEAR(Table1[[#This Row],[Date]])</f>
        <v>2023</v>
      </c>
      <c r="C304" t="s">
        <v>57</v>
      </c>
      <c r="D304" t="s">
        <v>6</v>
      </c>
      <c r="E304" t="s">
        <v>10</v>
      </c>
      <c r="F304">
        <v>1525</v>
      </c>
      <c r="G304">
        <v>71.619428294586811</v>
      </c>
      <c r="H304" t="str">
        <f>VLOOKUP(Table1[[#This Row],[Manager]],Managers!$A$2:$B$9,2,FALSE)</f>
        <v>Ken Adams</v>
      </c>
      <c r="I304" t="str">
        <f>VLOOKUP(Table1[[#This Row],[Product]],Products!$A$2:$B$11,2,FALSE)</f>
        <v>Mockolate</v>
      </c>
      <c r="J304" t="str">
        <f>IF(Table1[[#This Row],[Sales]]&gt;4000,"Exceeded the target",IF(AND(Table1[[#This Row],[Sales]]&lt;=4000,Table1[[#This Row],[Sales]]&lt;2500),"Did not meet the target","met the target"))</f>
        <v>Did not meet the target</v>
      </c>
      <c r="K304">
        <f>Table1[[#This Row],[Sales]]-Table1[[#This Row],[Commission]]</f>
        <v>1453.3805717054131</v>
      </c>
      <c r="L304">
        <f>Table1[[#This Row],[Sales]]+Table1[[#This Row],[Commission]]-Table1[[#This Row],[Revenue]]</f>
        <v>143.23885658917379</v>
      </c>
      <c r="M304">
        <f>Table1[[#This Row],[Revenue]]-Table1[[#This Row],[Cost]]</f>
        <v>1310.1417151162393</v>
      </c>
    </row>
    <row r="305" spans="1:13" x14ac:dyDescent="0.3">
      <c r="A305" s="1">
        <v>45107</v>
      </c>
      <c r="B305">
        <f>YEAR(Table1[[#This Row],[Date]])</f>
        <v>2023</v>
      </c>
      <c r="C305" t="s">
        <v>58</v>
      </c>
      <c r="D305" t="s">
        <v>6</v>
      </c>
      <c r="E305" t="s">
        <v>8</v>
      </c>
      <c r="F305">
        <v>4421</v>
      </c>
      <c r="G305">
        <v>303.982956253905</v>
      </c>
      <c r="H305" t="str">
        <f>VLOOKUP(Table1[[#This Row],[Manager]],Managers!$A$2:$B$9,2,FALSE)</f>
        <v>Ken Adams</v>
      </c>
      <c r="I305" t="str">
        <f>VLOOKUP(Table1[[#This Row],[Product]],Products!$A$2:$B$11,2,FALSE)</f>
        <v>Traditional English Trifle</v>
      </c>
      <c r="J305" t="str">
        <f>IF(Table1[[#This Row],[Sales]]&gt;4000,"Exceeded the target",IF(AND(Table1[[#This Row],[Sales]]&lt;=4000,Table1[[#This Row],[Sales]]&lt;2500),"Did not meet the target","met the target"))</f>
        <v>Exceeded the target</v>
      </c>
      <c r="K305">
        <f>Table1[[#This Row],[Sales]]-Table1[[#This Row],[Commission]]</f>
        <v>4117.0170437460947</v>
      </c>
      <c r="L305">
        <f>Table1[[#This Row],[Sales]]+Table1[[#This Row],[Commission]]-Table1[[#This Row],[Revenue]]</f>
        <v>607.96591250781057</v>
      </c>
      <c r="M305">
        <f>Table1[[#This Row],[Revenue]]-Table1[[#This Row],[Cost]]</f>
        <v>3509.0511312382841</v>
      </c>
    </row>
    <row r="306" spans="1:13" x14ac:dyDescent="0.3">
      <c r="A306" s="1">
        <v>45107</v>
      </c>
      <c r="B306">
        <f>YEAR(Table1[[#This Row],[Date]])</f>
        <v>2023</v>
      </c>
      <c r="C306" t="s">
        <v>59</v>
      </c>
      <c r="D306" t="s">
        <v>6</v>
      </c>
      <c r="E306" t="s">
        <v>10</v>
      </c>
      <c r="F306">
        <v>3783</v>
      </c>
      <c r="G306">
        <v>158.36489402948899</v>
      </c>
      <c r="H306" t="str">
        <f>VLOOKUP(Table1[[#This Row],[Manager]],Managers!$A$2:$B$9,2,FALSE)</f>
        <v>Ken Adams</v>
      </c>
      <c r="I306" t="str">
        <f>VLOOKUP(Table1[[#This Row],[Product]],Products!$A$2:$B$11,2,FALSE)</f>
        <v>Mockolate</v>
      </c>
      <c r="J306" t="str">
        <f>IF(Table1[[#This Row],[Sales]]&gt;4000,"Exceeded the target",IF(AND(Table1[[#This Row],[Sales]]&lt;=4000,Table1[[#This Row],[Sales]]&lt;2500),"Did not meet the target","met the target"))</f>
        <v>met the target</v>
      </c>
      <c r="K306">
        <f>Table1[[#This Row],[Sales]]-Table1[[#This Row],[Commission]]</f>
        <v>3624.6351059705112</v>
      </c>
      <c r="L306">
        <f>Table1[[#This Row],[Sales]]+Table1[[#This Row],[Commission]]-Table1[[#This Row],[Revenue]]</f>
        <v>316.72978805897765</v>
      </c>
      <c r="M306">
        <f>Table1[[#This Row],[Revenue]]-Table1[[#This Row],[Cost]]</f>
        <v>3307.9053179115335</v>
      </c>
    </row>
    <row r="307" spans="1:13" x14ac:dyDescent="0.3">
      <c r="A307" s="1">
        <v>45107</v>
      </c>
      <c r="B307">
        <f>YEAR(Table1[[#This Row],[Date]])</f>
        <v>2023</v>
      </c>
      <c r="C307" t="s">
        <v>60</v>
      </c>
      <c r="D307" t="s">
        <v>6</v>
      </c>
      <c r="E307" t="s">
        <v>9</v>
      </c>
      <c r="F307">
        <v>2153</v>
      </c>
      <c r="G307">
        <v>142.52415151875971</v>
      </c>
      <c r="H307" t="str">
        <f>VLOOKUP(Table1[[#This Row],[Manager]],Managers!$A$2:$B$9,2,FALSE)</f>
        <v>Ken Adams</v>
      </c>
      <c r="I307" t="str">
        <f>VLOOKUP(Table1[[#This Row],[Product]],Products!$A$2:$B$11,2,FALSE)</f>
        <v>Floor Cheesecake</v>
      </c>
      <c r="J307" t="str">
        <f>IF(Table1[[#This Row],[Sales]]&gt;4000,"Exceeded the target",IF(AND(Table1[[#This Row],[Sales]]&lt;=4000,Table1[[#This Row],[Sales]]&lt;2500),"Did not meet the target","met the target"))</f>
        <v>Did not meet the target</v>
      </c>
      <c r="K307">
        <f>Table1[[#This Row],[Sales]]-Table1[[#This Row],[Commission]]</f>
        <v>2010.4758484812403</v>
      </c>
      <c r="L307">
        <f>Table1[[#This Row],[Sales]]+Table1[[#This Row],[Commission]]-Table1[[#This Row],[Revenue]]</f>
        <v>285.04830303751964</v>
      </c>
      <c r="M307">
        <f>Table1[[#This Row],[Revenue]]-Table1[[#This Row],[Cost]]</f>
        <v>1725.4275454437206</v>
      </c>
    </row>
    <row r="308" spans="1:13" x14ac:dyDescent="0.3">
      <c r="A308" s="1">
        <v>45138</v>
      </c>
      <c r="B308">
        <f>YEAR(Table1[[#This Row],[Date]])</f>
        <v>2023</v>
      </c>
      <c r="C308" t="s">
        <v>61</v>
      </c>
      <c r="D308" t="s">
        <v>6</v>
      </c>
      <c r="E308" t="s">
        <v>9</v>
      </c>
      <c r="F308">
        <v>2750</v>
      </c>
      <c r="G308">
        <v>108.6587966792943</v>
      </c>
      <c r="H308" t="str">
        <f>VLOOKUP(Table1[[#This Row],[Manager]],Managers!$A$2:$B$9,2,FALSE)</f>
        <v>Ken Adams</v>
      </c>
      <c r="I308" t="str">
        <f>VLOOKUP(Table1[[#This Row],[Product]],Products!$A$2:$B$11,2,FALSE)</f>
        <v>Floor Cheesecake</v>
      </c>
      <c r="J308" t="str">
        <f>IF(Table1[[#This Row],[Sales]]&gt;4000,"Exceeded the target",IF(AND(Table1[[#This Row],[Sales]]&lt;=4000,Table1[[#This Row],[Sales]]&lt;2500),"Did not meet the target","met the target"))</f>
        <v>met the target</v>
      </c>
      <c r="K308">
        <f>Table1[[#This Row],[Sales]]-Table1[[#This Row],[Commission]]</f>
        <v>2641.3412033207055</v>
      </c>
      <c r="L308">
        <f>Table1[[#This Row],[Sales]]+Table1[[#This Row],[Commission]]-Table1[[#This Row],[Revenue]]</f>
        <v>217.31759335858897</v>
      </c>
      <c r="M308">
        <f>Table1[[#This Row],[Revenue]]-Table1[[#This Row],[Cost]]</f>
        <v>2424.0236099621166</v>
      </c>
    </row>
    <row r="309" spans="1:13" x14ac:dyDescent="0.3">
      <c r="A309" s="1">
        <v>45138</v>
      </c>
      <c r="B309">
        <f>YEAR(Table1[[#This Row],[Date]])</f>
        <v>2023</v>
      </c>
      <c r="C309" t="s">
        <v>62</v>
      </c>
      <c r="D309" t="s">
        <v>6</v>
      </c>
      <c r="E309" t="s">
        <v>8</v>
      </c>
      <c r="F309">
        <v>1291</v>
      </c>
      <c r="G309">
        <v>77.39742561937247</v>
      </c>
      <c r="H309" t="str">
        <f>VLOOKUP(Table1[[#This Row],[Manager]],Managers!$A$2:$B$9,2,FALSE)</f>
        <v>Ken Adams</v>
      </c>
      <c r="I309" t="str">
        <f>VLOOKUP(Table1[[#This Row],[Product]],Products!$A$2:$B$11,2,FALSE)</f>
        <v>Traditional English Trifle</v>
      </c>
      <c r="J309" t="str">
        <f>IF(Table1[[#This Row],[Sales]]&gt;4000,"Exceeded the target",IF(AND(Table1[[#This Row],[Sales]]&lt;=4000,Table1[[#This Row],[Sales]]&lt;2500),"Did not meet the target","met the target"))</f>
        <v>Did not meet the target</v>
      </c>
      <c r="K309">
        <f>Table1[[#This Row],[Sales]]-Table1[[#This Row],[Commission]]</f>
        <v>1213.6025743806276</v>
      </c>
      <c r="L309">
        <f>Table1[[#This Row],[Sales]]+Table1[[#This Row],[Commission]]-Table1[[#This Row],[Revenue]]</f>
        <v>154.79485123874474</v>
      </c>
      <c r="M309">
        <f>Table1[[#This Row],[Revenue]]-Table1[[#This Row],[Cost]]</f>
        <v>1058.8077231418829</v>
      </c>
    </row>
    <row r="310" spans="1:13" x14ac:dyDescent="0.3">
      <c r="A310" s="1">
        <v>45138</v>
      </c>
      <c r="B310">
        <f>YEAR(Table1[[#This Row],[Date]])</f>
        <v>2023</v>
      </c>
      <c r="C310" t="s">
        <v>63</v>
      </c>
      <c r="D310" t="s">
        <v>6</v>
      </c>
      <c r="E310" t="s">
        <v>10</v>
      </c>
      <c r="F310">
        <v>2022</v>
      </c>
      <c r="G310">
        <v>74.559478650973375</v>
      </c>
      <c r="H310" t="str">
        <f>VLOOKUP(Table1[[#This Row],[Manager]],Managers!$A$2:$B$9,2,FALSE)</f>
        <v>Ken Adams</v>
      </c>
      <c r="I310" t="str">
        <f>VLOOKUP(Table1[[#This Row],[Product]],Products!$A$2:$B$11,2,FALSE)</f>
        <v>Mockolate</v>
      </c>
      <c r="J310" t="str">
        <f>IF(Table1[[#This Row],[Sales]]&gt;4000,"Exceeded the target",IF(AND(Table1[[#This Row],[Sales]]&lt;=4000,Table1[[#This Row],[Sales]]&lt;2500),"Did not meet the target","met the target"))</f>
        <v>Did not meet the target</v>
      </c>
      <c r="K310">
        <f>Table1[[#This Row],[Sales]]-Table1[[#This Row],[Commission]]</f>
        <v>1947.4405213490265</v>
      </c>
      <c r="L310">
        <f>Table1[[#This Row],[Sales]]+Table1[[#This Row],[Commission]]-Table1[[#This Row],[Revenue]]</f>
        <v>149.11895730194669</v>
      </c>
      <c r="M310">
        <f>Table1[[#This Row],[Revenue]]-Table1[[#This Row],[Cost]]</f>
        <v>1798.3215640470798</v>
      </c>
    </row>
    <row r="311" spans="1:13" x14ac:dyDescent="0.3">
      <c r="A311" s="1">
        <v>45169</v>
      </c>
      <c r="B311">
        <f>YEAR(Table1[[#This Row],[Date]])</f>
        <v>2023</v>
      </c>
      <c r="C311" t="s">
        <v>64</v>
      </c>
      <c r="D311" t="s">
        <v>6</v>
      </c>
      <c r="E311" t="s">
        <v>8</v>
      </c>
      <c r="F311">
        <v>4740</v>
      </c>
      <c r="G311">
        <v>330.73838971719999</v>
      </c>
      <c r="H311" t="str">
        <f>VLOOKUP(Table1[[#This Row],[Manager]],Managers!$A$2:$B$9,2,FALSE)</f>
        <v>Ken Adams</v>
      </c>
      <c r="I311" t="str">
        <f>VLOOKUP(Table1[[#This Row],[Product]],Products!$A$2:$B$11,2,FALSE)</f>
        <v>Traditional English Trifle</v>
      </c>
      <c r="J311" t="str">
        <f>IF(Table1[[#This Row],[Sales]]&gt;4000,"Exceeded the target",IF(AND(Table1[[#This Row],[Sales]]&lt;=4000,Table1[[#This Row],[Sales]]&lt;2500),"Did not meet the target","met the target"))</f>
        <v>Exceeded the target</v>
      </c>
      <c r="K311">
        <f>Table1[[#This Row],[Sales]]-Table1[[#This Row],[Commission]]</f>
        <v>4409.2616102827997</v>
      </c>
      <c r="L311">
        <f>Table1[[#This Row],[Sales]]+Table1[[#This Row],[Commission]]-Table1[[#This Row],[Revenue]]</f>
        <v>661.47677943440067</v>
      </c>
      <c r="M311">
        <f>Table1[[#This Row],[Revenue]]-Table1[[#This Row],[Cost]]</f>
        <v>3747.784830848399</v>
      </c>
    </row>
    <row r="312" spans="1:13" x14ac:dyDescent="0.3">
      <c r="A312" s="1">
        <v>45169</v>
      </c>
      <c r="B312">
        <f>YEAR(Table1[[#This Row],[Date]])</f>
        <v>2023</v>
      </c>
      <c r="C312" t="s">
        <v>65</v>
      </c>
      <c r="D312" t="s">
        <v>6</v>
      </c>
      <c r="E312" t="s">
        <v>10</v>
      </c>
      <c r="F312">
        <v>4560</v>
      </c>
      <c r="G312">
        <v>149.7266475407996</v>
      </c>
      <c r="H312" t="str">
        <f>VLOOKUP(Table1[[#This Row],[Manager]],Managers!$A$2:$B$9,2,FALSE)</f>
        <v>Ken Adams</v>
      </c>
      <c r="I312" t="str">
        <f>VLOOKUP(Table1[[#This Row],[Product]],Products!$A$2:$B$11,2,FALSE)</f>
        <v>Mockolate</v>
      </c>
      <c r="J312" t="str">
        <f>IF(Table1[[#This Row],[Sales]]&gt;4000,"Exceeded the target",IF(AND(Table1[[#This Row],[Sales]]&lt;=4000,Table1[[#This Row],[Sales]]&lt;2500),"Did not meet the target","met the target"))</f>
        <v>Exceeded the target</v>
      </c>
      <c r="K312">
        <f>Table1[[#This Row],[Sales]]-Table1[[#This Row],[Commission]]</f>
        <v>4410.2733524592004</v>
      </c>
      <c r="L312">
        <f>Table1[[#This Row],[Sales]]+Table1[[#This Row],[Commission]]-Table1[[#This Row],[Revenue]]</f>
        <v>299.45329508159921</v>
      </c>
      <c r="M312">
        <f>Table1[[#This Row],[Revenue]]-Table1[[#This Row],[Cost]]</f>
        <v>4110.8200573776012</v>
      </c>
    </row>
    <row r="313" spans="1:13" x14ac:dyDescent="0.3">
      <c r="A313" s="1">
        <v>45169</v>
      </c>
      <c r="B313">
        <f>YEAR(Table1[[#This Row],[Date]])</f>
        <v>2023</v>
      </c>
      <c r="C313" t="s">
        <v>66</v>
      </c>
      <c r="D313" t="s">
        <v>6</v>
      </c>
      <c r="E313" t="s">
        <v>9</v>
      </c>
      <c r="F313">
        <v>1623</v>
      </c>
      <c r="G313">
        <v>78.022263638920791</v>
      </c>
      <c r="H313" t="str">
        <f>VLOOKUP(Table1[[#This Row],[Manager]],Managers!$A$2:$B$9,2,FALSE)</f>
        <v>Ken Adams</v>
      </c>
      <c r="I313" t="str">
        <f>VLOOKUP(Table1[[#This Row],[Product]],Products!$A$2:$B$11,2,FALSE)</f>
        <v>Floor Cheesecake</v>
      </c>
      <c r="J313" t="str">
        <f>IF(Table1[[#This Row],[Sales]]&gt;4000,"Exceeded the target",IF(AND(Table1[[#This Row],[Sales]]&lt;=4000,Table1[[#This Row],[Sales]]&lt;2500),"Did not meet the target","met the target"))</f>
        <v>Did not meet the target</v>
      </c>
      <c r="K313">
        <f>Table1[[#This Row],[Sales]]-Table1[[#This Row],[Commission]]</f>
        <v>1544.9777363610792</v>
      </c>
      <c r="L313">
        <f>Table1[[#This Row],[Sales]]+Table1[[#This Row],[Commission]]-Table1[[#This Row],[Revenue]]</f>
        <v>156.04452727784155</v>
      </c>
      <c r="M313">
        <f>Table1[[#This Row],[Revenue]]-Table1[[#This Row],[Cost]]</f>
        <v>1388.9332090832377</v>
      </c>
    </row>
    <row r="314" spans="1:13" x14ac:dyDescent="0.3">
      <c r="A314" s="1">
        <v>45199</v>
      </c>
      <c r="B314">
        <f>YEAR(Table1[[#This Row],[Date]])</f>
        <v>2023</v>
      </c>
      <c r="C314" t="s">
        <v>55</v>
      </c>
      <c r="D314" t="s">
        <v>6</v>
      </c>
      <c r="E314" t="s">
        <v>9</v>
      </c>
      <c r="F314">
        <v>4465</v>
      </c>
      <c r="G314">
        <v>232.55118021718599</v>
      </c>
      <c r="H314" t="str">
        <f>VLOOKUP(Table1[[#This Row],[Manager]],Managers!$A$2:$B$9,2,FALSE)</f>
        <v>Ken Adams</v>
      </c>
      <c r="I314" t="str">
        <f>VLOOKUP(Table1[[#This Row],[Product]],Products!$A$2:$B$11,2,FALSE)</f>
        <v>Floor Cheesecake</v>
      </c>
      <c r="J314" t="str">
        <f>IF(Table1[[#This Row],[Sales]]&gt;4000,"Exceeded the target",IF(AND(Table1[[#This Row],[Sales]]&lt;=4000,Table1[[#This Row],[Sales]]&lt;2500),"Did not meet the target","met the target"))</f>
        <v>Exceeded the target</v>
      </c>
      <c r="K314">
        <f>Table1[[#This Row],[Sales]]-Table1[[#This Row],[Commission]]</f>
        <v>4232.4488197828141</v>
      </c>
      <c r="L314">
        <f>Table1[[#This Row],[Sales]]+Table1[[#This Row],[Commission]]-Table1[[#This Row],[Revenue]]</f>
        <v>465.1023604343718</v>
      </c>
      <c r="M314">
        <f>Table1[[#This Row],[Revenue]]-Table1[[#This Row],[Cost]]</f>
        <v>3767.3464593484423</v>
      </c>
    </row>
    <row r="315" spans="1:13" x14ac:dyDescent="0.3">
      <c r="A315" s="1">
        <v>45199</v>
      </c>
      <c r="B315">
        <f>YEAR(Table1[[#This Row],[Date]])</f>
        <v>2023</v>
      </c>
      <c r="C315" t="s">
        <v>56</v>
      </c>
      <c r="D315" t="s">
        <v>6</v>
      </c>
      <c r="E315" t="s">
        <v>10</v>
      </c>
      <c r="F315">
        <v>3121</v>
      </c>
      <c r="G315">
        <v>127.5431315079512</v>
      </c>
      <c r="H315" t="str">
        <f>VLOOKUP(Table1[[#This Row],[Manager]],Managers!$A$2:$B$9,2,FALSE)</f>
        <v>Ken Adams</v>
      </c>
      <c r="I315" t="str">
        <f>VLOOKUP(Table1[[#This Row],[Product]],Products!$A$2:$B$11,2,FALSE)</f>
        <v>Mockolate</v>
      </c>
      <c r="J315" t="str">
        <f>IF(Table1[[#This Row],[Sales]]&gt;4000,"Exceeded the target",IF(AND(Table1[[#This Row],[Sales]]&lt;=4000,Table1[[#This Row],[Sales]]&lt;2500),"Did not meet the target","met the target"))</f>
        <v>met the target</v>
      </c>
      <c r="K315">
        <f>Table1[[#This Row],[Sales]]-Table1[[#This Row],[Commission]]</f>
        <v>2993.4568684920487</v>
      </c>
      <c r="L315">
        <f>Table1[[#This Row],[Sales]]+Table1[[#This Row],[Commission]]-Table1[[#This Row],[Revenue]]</f>
        <v>255.08626301590266</v>
      </c>
      <c r="M315">
        <f>Table1[[#This Row],[Revenue]]-Table1[[#This Row],[Cost]]</f>
        <v>2738.370605476146</v>
      </c>
    </row>
    <row r="316" spans="1:13" x14ac:dyDescent="0.3">
      <c r="A316" s="1">
        <v>45199</v>
      </c>
      <c r="B316">
        <f>YEAR(Table1[[#This Row],[Date]])</f>
        <v>2023</v>
      </c>
      <c r="C316" t="s">
        <v>57</v>
      </c>
      <c r="D316" t="s">
        <v>6</v>
      </c>
      <c r="E316" t="s">
        <v>8</v>
      </c>
      <c r="F316">
        <v>1807</v>
      </c>
      <c r="G316">
        <v>83.608686237007888</v>
      </c>
      <c r="H316" t="str">
        <f>VLOOKUP(Table1[[#This Row],[Manager]],Managers!$A$2:$B$9,2,FALSE)</f>
        <v>Ken Adams</v>
      </c>
      <c r="I316" t="str">
        <f>VLOOKUP(Table1[[#This Row],[Product]],Products!$A$2:$B$11,2,FALSE)</f>
        <v>Traditional English Trifle</v>
      </c>
      <c r="J316" t="str">
        <f>IF(Table1[[#This Row],[Sales]]&gt;4000,"Exceeded the target",IF(AND(Table1[[#This Row],[Sales]]&lt;=4000,Table1[[#This Row],[Sales]]&lt;2500),"Did not meet the target","met the target"))</f>
        <v>Did not meet the target</v>
      </c>
      <c r="K316">
        <f>Table1[[#This Row],[Sales]]-Table1[[#This Row],[Commission]]</f>
        <v>1723.391313762992</v>
      </c>
      <c r="L316">
        <f>Table1[[#This Row],[Sales]]+Table1[[#This Row],[Commission]]-Table1[[#This Row],[Revenue]]</f>
        <v>167.21737247401597</v>
      </c>
      <c r="M316">
        <f>Table1[[#This Row],[Revenue]]-Table1[[#This Row],[Cost]]</f>
        <v>1556.173941288976</v>
      </c>
    </row>
    <row r="317" spans="1:13" x14ac:dyDescent="0.3">
      <c r="A317" s="1">
        <v>45230</v>
      </c>
      <c r="B317">
        <f>YEAR(Table1[[#This Row],[Date]])</f>
        <v>2023</v>
      </c>
      <c r="C317" t="s">
        <v>58</v>
      </c>
      <c r="D317" t="s">
        <v>6</v>
      </c>
      <c r="E317" t="s">
        <v>10</v>
      </c>
      <c r="F317">
        <v>2447</v>
      </c>
      <c r="G317">
        <v>83.650977750113356</v>
      </c>
      <c r="H317" t="str">
        <f>VLOOKUP(Table1[[#This Row],[Manager]],Managers!$A$2:$B$9,2,FALSE)</f>
        <v>Ken Adams</v>
      </c>
      <c r="I317" t="str">
        <f>VLOOKUP(Table1[[#This Row],[Product]],Products!$A$2:$B$11,2,FALSE)</f>
        <v>Mockolate</v>
      </c>
      <c r="J317" t="str">
        <f>IF(Table1[[#This Row],[Sales]]&gt;4000,"Exceeded the target",IF(AND(Table1[[#This Row],[Sales]]&lt;=4000,Table1[[#This Row],[Sales]]&lt;2500),"Did not meet the target","met the target"))</f>
        <v>Did not meet the target</v>
      </c>
      <c r="K317">
        <f>Table1[[#This Row],[Sales]]-Table1[[#This Row],[Commission]]</f>
        <v>2363.3490222498867</v>
      </c>
      <c r="L317">
        <f>Table1[[#This Row],[Sales]]+Table1[[#This Row],[Commission]]-Table1[[#This Row],[Revenue]]</f>
        <v>167.30195550022654</v>
      </c>
      <c r="M317">
        <f>Table1[[#This Row],[Revenue]]-Table1[[#This Row],[Cost]]</f>
        <v>2196.0470667496602</v>
      </c>
    </row>
    <row r="318" spans="1:13" x14ac:dyDescent="0.3">
      <c r="A318" s="1">
        <v>45230</v>
      </c>
      <c r="B318">
        <f>YEAR(Table1[[#This Row],[Date]])</f>
        <v>2023</v>
      </c>
      <c r="C318" t="s">
        <v>59</v>
      </c>
      <c r="D318" t="s">
        <v>6</v>
      </c>
      <c r="E318" t="s">
        <v>8</v>
      </c>
      <c r="F318">
        <v>1429</v>
      </c>
      <c r="G318">
        <v>57.36820668651999</v>
      </c>
      <c r="H318" t="str">
        <f>VLOOKUP(Table1[[#This Row],[Manager]],Managers!$A$2:$B$9,2,FALSE)</f>
        <v>Ken Adams</v>
      </c>
      <c r="I318" t="str">
        <f>VLOOKUP(Table1[[#This Row],[Product]],Products!$A$2:$B$11,2,FALSE)</f>
        <v>Traditional English Trifle</v>
      </c>
      <c r="J318" t="str">
        <f>IF(Table1[[#This Row],[Sales]]&gt;4000,"Exceeded the target",IF(AND(Table1[[#This Row],[Sales]]&lt;=4000,Table1[[#This Row],[Sales]]&lt;2500),"Did not meet the target","met the target"))</f>
        <v>Did not meet the target</v>
      </c>
      <c r="K318">
        <f>Table1[[#This Row],[Sales]]-Table1[[#This Row],[Commission]]</f>
        <v>1371.6317933134801</v>
      </c>
      <c r="L318">
        <f>Table1[[#This Row],[Sales]]+Table1[[#This Row],[Commission]]-Table1[[#This Row],[Revenue]]</f>
        <v>114.7364133730398</v>
      </c>
      <c r="M318">
        <f>Table1[[#This Row],[Revenue]]-Table1[[#This Row],[Cost]]</f>
        <v>1256.8953799404403</v>
      </c>
    </row>
    <row r="319" spans="1:13" x14ac:dyDescent="0.3">
      <c r="A319" s="1">
        <v>45230</v>
      </c>
      <c r="B319">
        <f>YEAR(Table1[[#This Row],[Date]])</f>
        <v>2023</v>
      </c>
      <c r="C319" t="s">
        <v>60</v>
      </c>
      <c r="D319" t="s">
        <v>6</v>
      </c>
      <c r="E319" t="s">
        <v>9</v>
      </c>
      <c r="F319">
        <v>1199</v>
      </c>
      <c r="G319">
        <v>57.366659187135333</v>
      </c>
      <c r="H319" t="str">
        <f>VLOOKUP(Table1[[#This Row],[Manager]],Managers!$A$2:$B$9,2,FALSE)</f>
        <v>Ken Adams</v>
      </c>
      <c r="I319" t="str">
        <f>VLOOKUP(Table1[[#This Row],[Product]],Products!$A$2:$B$11,2,FALSE)</f>
        <v>Floor Cheesecake</v>
      </c>
      <c r="J319" t="str">
        <f>IF(Table1[[#This Row],[Sales]]&gt;4000,"Exceeded the target",IF(AND(Table1[[#This Row],[Sales]]&lt;=4000,Table1[[#This Row],[Sales]]&lt;2500),"Did not meet the target","met the target"))</f>
        <v>Did not meet the target</v>
      </c>
      <c r="K319">
        <f>Table1[[#This Row],[Sales]]-Table1[[#This Row],[Commission]]</f>
        <v>1141.6333408128646</v>
      </c>
      <c r="L319">
        <f>Table1[[#This Row],[Sales]]+Table1[[#This Row],[Commission]]-Table1[[#This Row],[Revenue]]</f>
        <v>114.73331837427077</v>
      </c>
      <c r="M319">
        <f>Table1[[#This Row],[Revenue]]-Table1[[#This Row],[Cost]]</f>
        <v>1026.9000224385939</v>
      </c>
    </row>
    <row r="320" spans="1:13" x14ac:dyDescent="0.3">
      <c r="A320" s="1">
        <v>45260</v>
      </c>
      <c r="B320">
        <f>YEAR(Table1[[#This Row],[Date]])</f>
        <v>2023</v>
      </c>
      <c r="C320" t="s">
        <v>61</v>
      </c>
      <c r="D320" t="s">
        <v>6</v>
      </c>
      <c r="E320" t="s">
        <v>8</v>
      </c>
      <c r="F320">
        <v>2792</v>
      </c>
      <c r="G320">
        <v>163.09041705984009</v>
      </c>
      <c r="H320" t="str">
        <f>VLOOKUP(Table1[[#This Row],[Manager]],Managers!$A$2:$B$9,2,FALSE)</f>
        <v>Ken Adams</v>
      </c>
      <c r="I320" t="str">
        <f>VLOOKUP(Table1[[#This Row],[Product]],Products!$A$2:$B$11,2,FALSE)</f>
        <v>Traditional English Trifle</v>
      </c>
      <c r="J320" t="str">
        <f>IF(Table1[[#This Row],[Sales]]&gt;4000,"Exceeded the target",IF(AND(Table1[[#This Row],[Sales]]&lt;=4000,Table1[[#This Row],[Sales]]&lt;2500),"Did not meet the target","met the target"))</f>
        <v>met the target</v>
      </c>
      <c r="K320">
        <f>Table1[[#This Row],[Sales]]-Table1[[#This Row],[Commission]]</f>
        <v>2628.9095829401599</v>
      </c>
      <c r="L320">
        <f>Table1[[#This Row],[Sales]]+Table1[[#This Row],[Commission]]-Table1[[#This Row],[Revenue]]</f>
        <v>326.18083411968018</v>
      </c>
      <c r="M320">
        <f>Table1[[#This Row],[Revenue]]-Table1[[#This Row],[Cost]]</f>
        <v>2302.7287488204797</v>
      </c>
    </row>
    <row r="321" spans="1:13" x14ac:dyDescent="0.3">
      <c r="A321" s="1">
        <v>45260</v>
      </c>
      <c r="B321">
        <f>YEAR(Table1[[#This Row],[Date]])</f>
        <v>2023</v>
      </c>
      <c r="C321" t="s">
        <v>62</v>
      </c>
      <c r="D321" t="s">
        <v>6</v>
      </c>
      <c r="E321" t="s">
        <v>10</v>
      </c>
      <c r="F321">
        <v>3338</v>
      </c>
      <c r="G321">
        <v>149.90010940249931</v>
      </c>
      <c r="H321" t="str">
        <f>VLOOKUP(Table1[[#This Row],[Manager]],Managers!$A$2:$B$9,2,FALSE)</f>
        <v>Ken Adams</v>
      </c>
      <c r="I321" t="str">
        <f>VLOOKUP(Table1[[#This Row],[Product]],Products!$A$2:$B$11,2,FALSE)</f>
        <v>Mockolate</v>
      </c>
      <c r="J321" t="str">
        <f>IF(Table1[[#This Row],[Sales]]&gt;4000,"Exceeded the target",IF(AND(Table1[[#This Row],[Sales]]&lt;=4000,Table1[[#This Row],[Sales]]&lt;2500),"Did not meet the target","met the target"))</f>
        <v>met the target</v>
      </c>
      <c r="K321">
        <f>Table1[[#This Row],[Sales]]-Table1[[#This Row],[Commission]]</f>
        <v>3188.0998905975007</v>
      </c>
      <c r="L321">
        <f>Table1[[#This Row],[Sales]]+Table1[[#This Row],[Commission]]-Table1[[#This Row],[Revenue]]</f>
        <v>299.80021880499862</v>
      </c>
      <c r="M321">
        <f>Table1[[#This Row],[Revenue]]-Table1[[#This Row],[Cost]]</f>
        <v>2888.2996717925021</v>
      </c>
    </row>
    <row r="322" spans="1:13" x14ac:dyDescent="0.3">
      <c r="A322" s="1">
        <v>45260</v>
      </c>
      <c r="B322">
        <f>YEAR(Table1[[#This Row],[Date]])</f>
        <v>2023</v>
      </c>
      <c r="C322" t="s">
        <v>63</v>
      </c>
      <c r="D322" t="s">
        <v>6</v>
      </c>
      <c r="E322" t="s">
        <v>9</v>
      </c>
      <c r="F322">
        <v>2483</v>
      </c>
      <c r="G322">
        <v>75.273049160458299</v>
      </c>
      <c r="H322" t="str">
        <f>VLOOKUP(Table1[[#This Row],[Manager]],Managers!$A$2:$B$9,2,FALSE)</f>
        <v>Ken Adams</v>
      </c>
      <c r="I322" t="str">
        <f>VLOOKUP(Table1[[#This Row],[Product]],Products!$A$2:$B$11,2,FALSE)</f>
        <v>Floor Cheesecake</v>
      </c>
      <c r="J322" t="str">
        <f>IF(Table1[[#This Row],[Sales]]&gt;4000,"Exceeded the target",IF(AND(Table1[[#This Row],[Sales]]&lt;=4000,Table1[[#This Row],[Sales]]&lt;2500),"Did not meet the target","met the target"))</f>
        <v>Did not meet the target</v>
      </c>
      <c r="K322">
        <f>Table1[[#This Row],[Sales]]-Table1[[#This Row],[Commission]]</f>
        <v>2407.7269508395416</v>
      </c>
      <c r="L322">
        <f>Table1[[#This Row],[Sales]]+Table1[[#This Row],[Commission]]-Table1[[#This Row],[Revenue]]</f>
        <v>150.54609832091683</v>
      </c>
      <c r="M322">
        <f>Table1[[#This Row],[Revenue]]-Table1[[#This Row],[Cost]]</f>
        <v>2257.1808525186248</v>
      </c>
    </row>
    <row r="323" spans="1:13" x14ac:dyDescent="0.3">
      <c r="A323" s="1">
        <v>45291</v>
      </c>
      <c r="B323">
        <f>YEAR(Table1[[#This Row],[Date]])</f>
        <v>2023</v>
      </c>
      <c r="C323" t="s">
        <v>64</v>
      </c>
      <c r="D323" t="s">
        <v>6</v>
      </c>
      <c r="E323" t="s">
        <v>9</v>
      </c>
      <c r="F323">
        <v>4419</v>
      </c>
      <c r="G323">
        <v>300.29067402255691</v>
      </c>
      <c r="H323" t="str">
        <f>VLOOKUP(Table1[[#This Row],[Manager]],Managers!$A$2:$B$9,2,FALSE)</f>
        <v>Ken Adams</v>
      </c>
      <c r="I323" t="str">
        <f>VLOOKUP(Table1[[#This Row],[Product]],Products!$A$2:$B$11,2,FALSE)</f>
        <v>Floor Cheesecake</v>
      </c>
      <c r="J323" t="str">
        <f>IF(Table1[[#This Row],[Sales]]&gt;4000,"Exceeded the target",IF(AND(Table1[[#This Row],[Sales]]&lt;=4000,Table1[[#This Row],[Sales]]&lt;2500),"Did not meet the target","met the target"))</f>
        <v>Exceeded the target</v>
      </c>
      <c r="K323">
        <f>Table1[[#This Row],[Sales]]-Table1[[#This Row],[Commission]]</f>
        <v>4118.7093259774429</v>
      </c>
      <c r="L323">
        <f>Table1[[#This Row],[Sales]]+Table1[[#This Row],[Commission]]-Table1[[#This Row],[Revenue]]</f>
        <v>600.58134804511428</v>
      </c>
      <c r="M323">
        <f>Table1[[#This Row],[Revenue]]-Table1[[#This Row],[Cost]]</f>
        <v>3518.1279779323286</v>
      </c>
    </row>
    <row r="324" spans="1:13" x14ac:dyDescent="0.3">
      <c r="A324" s="1">
        <v>45291</v>
      </c>
      <c r="B324">
        <f>YEAR(Table1[[#This Row],[Date]])</f>
        <v>2023</v>
      </c>
      <c r="C324" t="s">
        <v>65</v>
      </c>
      <c r="D324" t="s">
        <v>6</v>
      </c>
      <c r="E324" t="s">
        <v>8</v>
      </c>
      <c r="F324">
        <v>2400</v>
      </c>
      <c r="G324">
        <v>136.50788549719891</v>
      </c>
      <c r="H324" t="str">
        <f>VLOOKUP(Table1[[#This Row],[Manager]],Managers!$A$2:$B$9,2,FALSE)</f>
        <v>Ken Adams</v>
      </c>
      <c r="I324" t="str">
        <f>VLOOKUP(Table1[[#This Row],[Product]],Products!$A$2:$B$11,2,FALSE)</f>
        <v>Traditional English Trifle</v>
      </c>
      <c r="J324" t="str">
        <f>IF(Table1[[#This Row],[Sales]]&gt;4000,"Exceeded the target",IF(AND(Table1[[#This Row],[Sales]]&lt;=4000,Table1[[#This Row],[Sales]]&lt;2500),"Did not meet the target","met the target"))</f>
        <v>Did not meet the target</v>
      </c>
      <c r="K324">
        <f>Table1[[#This Row],[Sales]]-Table1[[#This Row],[Commission]]</f>
        <v>2263.4921145028011</v>
      </c>
      <c r="L324">
        <f>Table1[[#This Row],[Sales]]+Table1[[#This Row],[Commission]]-Table1[[#This Row],[Revenue]]</f>
        <v>273.01577099439783</v>
      </c>
      <c r="M324">
        <f>Table1[[#This Row],[Revenue]]-Table1[[#This Row],[Cost]]</f>
        <v>1990.4763435084033</v>
      </c>
    </row>
    <row r="325" spans="1:13" x14ac:dyDescent="0.3">
      <c r="A325" s="1">
        <v>45291</v>
      </c>
      <c r="B325">
        <f>YEAR(Table1[[#This Row],[Date]])</f>
        <v>2023</v>
      </c>
      <c r="C325" t="s">
        <v>66</v>
      </c>
      <c r="D325" t="s">
        <v>6</v>
      </c>
      <c r="E325" t="s">
        <v>10</v>
      </c>
      <c r="F325">
        <v>1168</v>
      </c>
      <c r="G325">
        <v>35.166294153104452</v>
      </c>
      <c r="H325" t="str">
        <f>VLOOKUP(Table1[[#This Row],[Manager]],Managers!$A$2:$B$9,2,FALSE)</f>
        <v>Ken Adams</v>
      </c>
      <c r="I325" t="str">
        <f>VLOOKUP(Table1[[#This Row],[Product]],Products!$A$2:$B$11,2,FALSE)</f>
        <v>Mockolate</v>
      </c>
      <c r="J325" t="str">
        <f>IF(Table1[[#This Row],[Sales]]&gt;4000,"Exceeded the target",IF(AND(Table1[[#This Row],[Sales]]&lt;=4000,Table1[[#This Row],[Sales]]&lt;2500),"Did not meet the target","met the target"))</f>
        <v>Did not meet the target</v>
      </c>
      <c r="K325">
        <f>Table1[[#This Row],[Sales]]-Table1[[#This Row],[Commission]]</f>
        <v>1132.8337058468956</v>
      </c>
      <c r="L325">
        <f>Table1[[#This Row],[Sales]]+Table1[[#This Row],[Commission]]-Table1[[#This Row],[Revenue]]</f>
        <v>70.332588306208891</v>
      </c>
      <c r="M325">
        <f>Table1[[#This Row],[Revenue]]-Table1[[#This Row],[Cost]]</f>
        <v>1062.5011175406867</v>
      </c>
    </row>
    <row r="326" spans="1:13" x14ac:dyDescent="0.3">
      <c r="A326" s="1">
        <v>44957</v>
      </c>
      <c r="B326">
        <f>YEAR(Table1[[#This Row],[Date]])</f>
        <v>2023</v>
      </c>
      <c r="C326" t="s">
        <v>55</v>
      </c>
      <c r="D326" t="s">
        <v>7</v>
      </c>
      <c r="E326" t="s">
        <v>9</v>
      </c>
      <c r="F326">
        <v>4661</v>
      </c>
      <c r="G326">
        <v>318.65702146988679</v>
      </c>
      <c r="H326" t="str">
        <f>VLOOKUP(Table1[[#This Row],[Manager]],Managers!$A$2:$B$9,2,FALSE)</f>
        <v>Chanandler Bong</v>
      </c>
      <c r="I326" t="str">
        <f>VLOOKUP(Table1[[#This Row],[Product]],Products!$A$2:$B$11,2,FALSE)</f>
        <v>Floor Cheesecake</v>
      </c>
      <c r="J326" t="str">
        <f>IF(Table1[[#This Row],[Sales]]&gt;4000,"Exceeded the target",IF(AND(Table1[[#This Row],[Sales]]&lt;=4000,Table1[[#This Row],[Sales]]&lt;2500),"Did not meet the target","met the target"))</f>
        <v>Exceeded the target</v>
      </c>
      <c r="K326">
        <f>Table1[[#This Row],[Sales]]-Table1[[#This Row],[Commission]]</f>
        <v>4342.3429785301132</v>
      </c>
      <c r="L326">
        <f>Table1[[#This Row],[Sales]]+Table1[[#This Row],[Commission]]-Table1[[#This Row],[Revenue]]</f>
        <v>637.31404293977357</v>
      </c>
      <c r="M326">
        <f>Table1[[#This Row],[Revenue]]-Table1[[#This Row],[Cost]]</f>
        <v>3705.0289355903396</v>
      </c>
    </row>
    <row r="327" spans="1:13" x14ac:dyDescent="0.3">
      <c r="A327" s="1">
        <v>44957</v>
      </c>
      <c r="B327">
        <f>YEAR(Table1[[#This Row],[Date]])</f>
        <v>2023</v>
      </c>
      <c r="C327" t="s">
        <v>56</v>
      </c>
      <c r="D327" t="s">
        <v>7</v>
      </c>
      <c r="E327" t="s">
        <v>8</v>
      </c>
      <c r="F327">
        <v>3536</v>
      </c>
      <c r="G327">
        <v>218.72161015573141</v>
      </c>
      <c r="H327" t="str">
        <f>VLOOKUP(Table1[[#This Row],[Manager]],Managers!$A$2:$B$9,2,FALSE)</f>
        <v>Chanandler Bong</v>
      </c>
      <c r="I327" t="str">
        <f>VLOOKUP(Table1[[#This Row],[Product]],Products!$A$2:$B$11,2,FALSE)</f>
        <v>Traditional English Trifle</v>
      </c>
      <c r="J327" t="str">
        <f>IF(Table1[[#This Row],[Sales]]&gt;4000,"Exceeded the target",IF(AND(Table1[[#This Row],[Sales]]&lt;=4000,Table1[[#This Row],[Sales]]&lt;2500),"Did not meet the target","met the target"))</f>
        <v>met the target</v>
      </c>
      <c r="K327">
        <f>Table1[[#This Row],[Sales]]-Table1[[#This Row],[Commission]]</f>
        <v>3317.2783898442685</v>
      </c>
      <c r="L327">
        <f>Table1[[#This Row],[Sales]]+Table1[[#This Row],[Commission]]-Table1[[#This Row],[Revenue]]</f>
        <v>437.44322031146294</v>
      </c>
      <c r="M327">
        <f>Table1[[#This Row],[Revenue]]-Table1[[#This Row],[Cost]]</f>
        <v>2879.8351695328056</v>
      </c>
    </row>
    <row r="328" spans="1:13" x14ac:dyDescent="0.3">
      <c r="A328" s="1">
        <v>44957</v>
      </c>
      <c r="B328">
        <f>YEAR(Table1[[#This Row],[Date]])</f>
        <v>2023</v>
      </c>
      <c r="C328" t="s">
        <v>57</v>
      </c>
      <c r="D328" t="s">
        <v>7</v>
      </c>
      <c r="E328" t="s">
        <v>10</v>
      </c>
      <c r="F328">
        <v>3334</v>
      </c>
      <c r="G328">
        <v>161.11739400339931</v>
      </c>
      <c r="H328" t="str">
        <f>VLOOKUP(Table1[[#This Row],[Manager]],Managers!$A$2:$B$9,2,FALSE)</f>
        <v>Chanandler Bong</v>
      </c>
      <c r="I328" t="str">
        <f>VLOOKUP(Table1[[#This Row],[Product]],Products!$A$2:$B$11,2,FALSE)</f>
        <v>Mockolate</v>
      </c>
      <c r="J328" t="str">
        <f>IF(Table1[[#This Row],[Sales]]&gt;4000,"Exceeded the target",IF(AND(Table1[[#This Row],[Sales]]&lt;=4000,Table1[[#This Row],[Sales]]&lt;2500),"Did not meet the target","met the target"))</f>
        <v>met the target</v>
      </c>
      <c r="K328">
        <f>Table1[[#This Row],[Sales]]-Table1[[#This Row],[Commission]]</f>
        <v>3172.8826059966009</v>
      </c>
      <c r="L328">
        <f>Table1[[#This Row],[Sales]]+Table1[[#This Row],[Commission]]-Table1[[#This Row],[Revenue]]</f>
        <v>322.23478800679823</v>
      </c>
      <c r="M328">
        <f>Table1[[#This Row],[Revenue]]-Table1[[#This Row],[Cost]]</f>
        <v>2850.6478179898027</v>
      </c>
    </row>
    <row r="329" spans="1:13" x14ac:dyDescent="0.3">
      <c r="A329" s="1">
        <v>44985</v>
      </c>
      <c r="B329">
        <f>YEAR(Table1[[#This Row],[Date]])</f>
        <v>2023</v>
      </c>
      <c r="C329" t="s">
        <v>58</v>
      </c>
      <c r="D329" t="s">
        <v>7</v>
      </c>
      <c r="E329" t="s">
        <v>9</v>
      </c>
      <c r="F329">
        <v>4912</v>
      </c>
      <c r="G329">
        <v>198.1862454624308</v>
      </c>
      <c r="H329" t="str">
        <f>VLOOKUP(Table1[[#This Row],[Manager]],Managers!$A$2:$B$9,2,FALSE)</f>
        <v>Chanandler Bong</v>
      </c>
      <c r="I329" t="str">
        <f>VLOOKUP(Table1[[#This Row],[Product]],Products!$A$2:$B$11,2,FALSE)</f>
        <v>Floor Cheesecake</v>
      </c>
      <c r="J329" t="str">
        <f>IF(Table1[[#This Row],[Sales]]&gt;4000,"Exceeded the target",IF(AND(Table1[[#This Row],[Sales]]&lt;=4000,Table1[[#This Row],[Sales]]&lt;2500),"Did not meet the target","met the target"))</f>
        <v>Exceeded the target</v>
      </c>
      <c r="K329">
        <f>Table1[[#This Row],[Sales]]-Table1[[#This Row],[Commission]]</f>
        <v>4713.8137545375694</v>
      </c>
      <c r="L329">
        <f>Table1[[#This Row],[Sales]]+Table1[[#This Row],[Commission]]-Table1[[#This Row],[Revenue]]</f>
        <v>396.37249092486127</v>
      </c>
      <c r="M329">
        <f>Table1[[#This Row],[Revenue]]-Table1[[#This Row],[Cost]]</f>
        <v>4317.4412636127081</v>
      </c>
    </row>
    <row r="330" spans="1:13" x14ac:dyDescent="0.3">
      <c r="A330" s="1">
        <v>44985</v>
      </c>
      <c r="B330">
        <f>YEAR(Table1[[#This Row],[Date]])</f>
        <v>2023</v>
      </c>
      <c r="C330" t="s">
        <v>59</v>
      </c>
      <c r="D330" t="s">
        <v>7</v>
      </c>
      <c r="E330" t="s">
        <v>10</v>
      </c>
      <c r="F330">
        <v>2434</v>
      </c>
      <c r="G330">
        <v>155.68236970859979</v>
      </c>
      <c r="H330" t="str">
        <f>VLOOKUP(Table1[[#This Row],[Manager]],Managers!$A$2:$B$9,2,FALSE)</f>
        <v>Chanandler Bong</v>
      </c>
      <c r="I330" t="str">
        <f>VLOOKUP(Table1[[#This Row],[Product]],Products!$A$2:$B$11,2,FALSE)</f>
        <v>Mockolate</v>
      </c>
      <c r="J330" t="str">
        <f>IF(Table1[[#This Row],[Sales]]&gt;4000,"Exceeded the target",IF(AND(Table1[[#This Row],[Sales]]&lt;=4000,Table1[[#This Row],[Sales]]&lt;2500),"Did not meet the target","met the target"))</f>
        <v>Did not meet the target</v>
      </c>
      <c r="K330">
        <f>Table1[[#This Row],[Sales]]-Table1[[#This Row],[Commission]]</f>
        <v>2278.3176302914003</v>
      </c>
      <c r="L330">
        <f>Table1[[#This Row],[Sales]]+Table1[[#This Row],[Commission]]-Table1[[#This Row],[Revenue]]</f>
        <v>311.36473941719942</v>
      </c>
      <c r="M330">
        <f>Table1[[#This Row],[Revenue]]-Table1[[#This Row],[Cost]]</f>
        <v>1966.9528908742009</v>
      </c>
    </row>
    <row r="331" spans="1:13" x14ac:dyDescent="0.3">
      <c r="A331" s="1">
        <v>44985</v>
      </c>
      <c r="B331">
        <f>YEAR(Table1[[#This Row],[Date]])</f>
        <v>2023</v>
      </c>
      <c r="C331" t="s">
        <v>60</v>
      </c>
      <c r="D331" t="s">
        <v>7</v>
      </c>
      <c r="E331" t="s">
        <v>8</v>
      </c>
      <c r="F331">
        <v>1607</v>
      </c>
      <c r="G331">
        <v>75.466793151479038</v>
      </c>
      <c r="H331" t="str">
        <f>VLOOKUP(Table1[[#This Row],[Manager]],Managers!$A$2:$B$9,2,FALSE)</f>
        <v>Chanandler Bong</v>
      </c>
      <c r="I331" t="str">
        <f>VLOOKUP(Table1[[#This Row],[Product]],Products!$A$2:$B$11,2,FALSE)</f>
        <v>Traditional English Trifle</v>
      </c>
      <c r="J331" t="str">
        <f>IF(Table1[[#This Row],[Sales]]&gt;4000,"Exceeded the target",IF(AND(Table1[[#This Row],[Sales]]&lt;=4000,Table1[[#This Row],[Sales]]&lt;2500),"Did not meet the target","met the target"))</f>
        <v>Did not meet the target</v>
      </c>
      <c r="K331">
        <f>Table1[[#This Row],[Sales]]-Table1[[#This Row],[Commission]]</f>
        <v>1531.5332068485209</v>
      </c>
      <c r="L331">
        <f>Table1[[#This Row],[Sales]]+Table1[[#This Row],[Commission]]-Table1[[#This Row],[Revenue]]</f>
        <v>150.93358630295825</v>
      </c>
      <c r="M331">
        <f>Table1[[#This Row],[Revenue]]-Table1[[#This Row],[Cost]]</f>
        <v>1380.5996205455626</v>
      </c>
    </row>
    <row r="332" spans="1:13" x14ac:dyDescent="0.3">
      <c r="A332" s="1">
        <v>45016</v>
      </c>
      <c r="B332">
        <f>YEAR(Table1[[#This Row],[Date]])</f>
        <v>2023</v>
      </c>
      <c r="C332" t="s">
        <v>61</v>
      </c>
      <c r="D332" t="s">
        <v>7</v>
      </c>
      <c r="E332" t="s">
        <v>10</v>
      </c>
      <c r="F332">
        <v>3937</v>
      </c>
      <c r="G332">
        <v>214.87590197597811</v>
      </c>
      <c r="H332" t="str">
        <f>VLOOKUP(Table1[[#This Row],[Manager]],Managers!$A$2:$B$9,2,FALSE)</f>
        <v>Chanandler Bong</v>
      </c>
      <c r="I332" t="str">
        <f>VLOOKUP(Table1[[#This Row],[Product]],Products!$A$2:$B$11,2,FALSE)</f>
        <v>Mockolate</v>
      </c>
      <c r="J332" t="str">
        <f>IF(Table1[[#This Row],[Sales]]&gt;4000,"Exceeded the target",IF(AND(Table1[[#This Row],[Sales]]&lt;=4000,Table1[[#This Row],[Sales]]&lt;2500),"Did not meet the target","met the target"))</f>
        <v>met the target</v>
      </c>
      <c r="K332">
        <f>Table1[[#This Row],[Sales]]-Table1[[#This Row],[Commission]]</f>
        <v>3722.1240980240218</v>
      </c>
      <c r="L332">
        <f>Table1[[#This Row],[Sales]]+Table1[[#This Row],[Commission]]-Table1[[#This Row],[Revenue]]</f>
        <v>429.75180395195639</v>
      </c>
      <c r="M332">
        <f>Table1[[#This Row],[Revenue]]-Table1[[#This Row],[Cost]]</f>
        <v>3292.3722940720654</v>
      </c>
    </row>
    <row r="333" spans="1:13" x14ac:dyDescent="0.3">
      <c r="A333" s="1">
        <v>45016</v>
      </c>
      <c r="B333">
        <f>YEAR(Table1[[#This Row],[Date]])</f>
        <v>2023</v>
      </c>
      <c r="C333" t="s">
        <v>62</v>
      </c>
      <c r="D333" t="s">
        <v>7</v>
      </c>
      <c r="E333" t="s">
        <v>9</v>
      </c>
      <c r="F333">
        <v>4533</v>
      </c>
      <c r="G333">
        <v>178.1911655208786</v>
      </c>
      <c r="H333" t="str">
        <f>VLOOKUP(Table1[[#This Row],[Manager]],Managers!$A$2:$B$9,2,FALSE)</f>
        <v>Chanandler Bong</v>
      </c>
      <c r="I333" t="str">
        <f>VLOOKUP(Table1[[#This Row],[Product]],Products!$A$2:$B$11,2,FALSE)</f>
        <v>Floor Cheesecake</v>
      </c>
      <c r="J333" t="str">
        <f>IF(Table1[[#This Row],[Sales]]&gt;4000,"Exceeded the target",IF(AND(Table1[[#This Row],[Sales]]&lt;=4000,Table1[[#This Row],[Sales]]&lt;2500),"Did not meet the target","met the target"))</f>
        <v>Exceeded the target</v>
      </c>
      <c r="K333">
        <f>Table1[[#This Row],[Sales]]-Table1[[#This Row],[Commission]]</f>
        <v>4354.8088344791213</v>
      </c>
      <c r="L333">
        <f>Table1[[#This Row],[Sales]]+Table1[[#This Row],[Commission]]-Table1[[#This Row],[Revenue]]</f>
        <v>356.38233104175742</v>
      </c>
      <c r="M333">
        <f>Table1[[#This Row],[Revenue]]-Table1[[#This Row],[Cost]]</f>
        <v>3998.4265034373639</v>
      </c>
    </row>
    <row r="334" spans="1:13" x14ac:dyDescent="0.3">
      <c r="A334" s="1">
        <v>45016</v>
      </c>
      <c r="B334">
        <f>YEAR(Table1[[#This Row],[Date]])</f>
        <v>2023</v>
      </c>
      <c r="C334" t="s">
        <v>63</v>
      </c>
      <c r="D334" t="s">
        <v>7</v>
      </c>
      <c r="E334" t="s">
        <v>8</v>
      </c>
      <c r="F334">
        <v>3646</v>
      </c>
      <c r="G334">
        <v>157.02605659708311</v>
      </c>
      <c r="H334" t="str">
        <f>VLOOKUP(Table1[[#This Row],[Manager]],Managers!$A$2:$B$9,2,FALSE)</f>
        <v>Chanandler Bong</v>
      </c>
      <c r="I334" t="str">
        <f>VLOOKUP(Table1[[#This Row],[Product]],Products!$A$2:$B$11,2,FALSE)</f>
        <v>Traditional English Trifle</v>
      </c>
      <c r="J334" t="str">
        <f>IF(Table1[[#This Row],[Sales]]&gt;4000,"Exceeded the target",IF(AND(Table1[[#This Row],[Sales]]&lt;=4000,Table1[[#This Row],[Sales]]&lt;2500),"Did not meet the target","met the target"))</f>
        <v>met the target</v>
      </c>
      <c r="K334">
        <f>Table1[[#This Row],[Sales]]-Table1[[#This Row],[Commission]]</f>
        <v>3488.973943402917</v>
      </c>
      <c r="L334">
        <f>Table1[[#This Row],[Sales]]+Table1[[#This Row],[Commission]]-Table1[[#This Row],[Revenue]]</f>
        <v>314.05211319416594</v>
      </c>
      <c r="M334">
        <f>Table1[[#This Row],[Revenue]]-Table1[[#This Row],[Cost]]</f>
        <v>3174.9218302087511</v>
      </c>
    </row>
    <row r="335" spans="1:13" x14ac:dyDescent="0.3">
      <c r="A335" s="1">
        <v>45046</v>
      </c>
      <c r="B335">
        <f>YEAR(Table1[[#This Row],[Date]])</f>
        <v>2023</v>
      </c>
      <c r="C335" t="s">
        <v>64</v>
      </c>
      <c r="D335" t="s">
        <v>7</v>
      </c>
      <c r="E335" t="s">
        <v>8</v>
      </c>
      <c r="F335">
        <v>3934</v>
      </c>
      <c r="G335">
        <v>273.86068944562231</v>
      </c>
      <c r="H335" t="str">
        <f>VLOOKUP(Table1[[#This Row],[Manager]],Managers!$A$2:$B$9,2,FALSE)</f>
        <v>Chanandler Bong</v>
      </c>
      <c r="I335" t="str">
        <f>VLOOKUP(Table1[[#This Row],[Product]],Products!$A$2:$B$11,2,FALSE)</f>
        <v>Traditional English Trifle</v>
      </c>
      <c r="J335" t="str">
        <f>IF(Table1[[#This Row],[Sales]]&gt;4000,"Exceeded the target",IF(AND(Table1[[#This Row],[Sales]]&lt;=4000,Table1[[#This Row],[Sales]]&lt;2500),"Did not meet the target","met the target"))</f>
        <v>met the target</v>
      </c>
      <c r="K335">
        <f>Table1[[#This Row],[Sales]]-Table1[[#This Row],[Commission]]</f>
        <v>3660.1393105543775</v>
      </c>
      <c r="L335">
        <f>Table1[[#This Row],[Sales]]+Table1[[#This Row],[Commission]]-Table1[[#This Row],[Revenue]]</f>
        <v>547.72137889124497</v>
      </c>
      <c r="M335">
        <f>Table1[[#This Row],[Revenue]]-Table1[[#This Row],[Cost]]</f>
        <v>3112.4179316631325</v>
      </c>
    </row>
    <row r="336" spans="1:13" x14ac:dyDescent="0.3">
      <c r="A336" s="1">
        <v>45046</v>
      </c>
      <c r="B336">
        <f>YEAR(Table1[[#This Row],[Date]])</f>
        <v>2023</v>
      </c>
      <c r="C336" t="s">
        <v>65</v>
      </c>
      <c r="D336" t="s">
        <v>7</v>
      </c>
      <c r="E336" t="s">
        <v>9</v>
      </c>
      <c r="F336">
        <v>2141</v>
      </c>
      <c r="G336">
        <v>99.261392727748998</v>
      </c>
      <c r="H336" t="str">
        <f>VLOOKUP(Table1[[#This Row],[Manager]],Managers!$A$2:$B$9,2,FALSE)</f>
        <v>Chanandler Bong</v>
      </c>
      <c r="I336" t="str">
        <f>VLOOKUP(Table1[[#This Row],[Product]],Products!$A$2:$B$11,2,FALSE)</f>
        <v>Floor Cheesecake</v>
      </c>
      <c r="J336" t="str">
        <f>IF(Table1[[#This Row],[Sales]]&gt;4000,"Exceeded the target",IF(AND(Table1[[#This Row],[Sales]]&lt;=4000,Table1[[#This Row],[Sales]]&lt;2500),"Did not meet the target","met the target"))</f>
        <v>Did not meet the target</v>
      </c>
      <c r="K336">
        <f>Table1[[#This Row],[Sales]]-Table1[[#This Row],[Commission]]</f>
        <v>2041.7386072722511</v>
      </c>
      <c r="L336">
        <f>Table1[[#This Row],[Sales]]+Table1[[#This Row],[Commission]]-Table1[[#This Row],[Revenue]]</f>
        <v>198.5227854554978</v>
      </c>
      <c r="M336">
        <f>Table1[[#This Row],[Revenue]]-Table1[[#This Row],[Cost]]</f>
        <v>1843.2158218167533</v>
      </c>
    </row>
    <row r="337" spans="1:13" x14ac:dyDescent="0.3">
      <c r="A337" s="1">
        <v>45046</v>
      </c>
      <c r="B337">
        <f>YEAR(Table1[[#This Row],[Date]])</f>
        <v>2023</v>
      </c>
      <c r="C337" t="s">
        <v>66</v>
      </c>
      <c r="D337" t="s">
        <v>7</v>
      </c>
      <c r="E337" t="s">
        <v>10</v>
      </c>
      <c r="F337">
        <v>2469</v>
      </c>
      <c r="G337">
        <v>90.163379116362734</v>
      </c>
      <c r="H337" t="str">
        <f>VLOOKUP(Table1[[#This Row],[Manager]],Managers!$A$2:$B$9,2,FALSE)</f>
        <v>Chanandler Bong</v>
      </c>
      <c r="I337" t="str">
        <f>VLOOKUP(Table1[[#This Row],[Product]],Products!$A$2:$B$11,2,FALSE)</f>
        <v>Mockolate</v>
      </c>
      <c r="J337" t="str">
        <f>IF(Table1[[#This Row],[Sales]]&gt;4000,"Exceeded the target",IF(AND(Table1[[#This Row],[Sales]]&lt;=4000,Table1[[#This Row],[Sales]]&lt;2500),"Did not meet the target","met the target"))</f>
        <v>Did not meet the target</v>
      </c>
      <c r="K337">
        <f>Table1[[#This Row],[Sales]]-Table1[[#This Row],[Commission]]</f>
        <v>2378.8366208836374</v>
      </c>
      <c r="L337">
        <f>Table1[[#This Row],[Sales]]+Table1[[#This Row],[Commission]]-Table1[[#This Row],[Revenue]]</f>
        <v>180.3267582327253</v>
      </c>
      <c r="M337">
        <f>Table1[[#This Row],[Revenue]]-Table1[[#This Row],[Cost]]</f>
        <v>2198.5098626509121</v>
      </c>
    </row>
    <row r="338" spans="1:13" x14ac:dyDescent="0.3">
      <c r="A338" s="1">
        <v>45077</v>
      </c>
      <c r="B338">
        <f>YEAR(Table1[[#This Row],[Date]])</f>
        <v>2023</v>
      </c>
      <c r="C338" t="s">
        <v>55</v>
      </c>
      <c r="D338" t="s">
        <v>7</v>
      </c>
      <c r="E338" t="s">
        <v>8</v>
      </c>
      <c r="F338">
        <v>2863</v>
      </c>
      <c r="G338">
        <v>149.41284784790571</v>
      </c>
      <c r="H338" t="str">
        <f>VLOOKUP(Table1[[#This Row],[Manager]],Managers!$A$2:$B$9,2,FALSE)</f>
        <v>Chanandler Bong</v>
      </c>
      <c r="I338" t="str">
        <f>VLOOKUP(Table1[[#This Row],[Product]],Products!$A$2:$B$11,2,FALSE)</f>
        <v>Traditional English Trifle</v>
      </c>
      <c r="J338" t="str">
        <f>IF(Table1[[#This Row],[Sales]]&gt;4000,"Exceeded the target",IF(AND(Table1[[#This Row],[Sales]]&lt;=4000,Table1[[#This Row],[Sales]]&lt;2500),"Did not meet the target","met the target"))</f>
        <v>met the target</v>
      </c>
      <c r="K338">
        <f>Table1[[#This Row],[Sales]]-Table1[[#This Row],[Commission]]</f>
        <v>2713.5871521520944</v>
      </c>
      <c r="L338">
        <f>Table1[[#This Row],[Sales]]+Table1[[#This Row],[Commission]]-Table1[[#This Row],[Revenue]]</f>
        <v>298.82569569581119</v>
      </c>
      <c r="M338">
        <f>Table1[[#This Row],[Revenue]]-Table1[[#This Row],[Cost]]</f>
        <v>2414.7614564562832</v>
      </c>
    </row>
    <row r="339" spans="1:13" x14ac:dyDescent="0.3">
      <c r="A339" s="1">
        <v>45077</v>
      </c>
      <c r="B339">
        <f>YEAR(Table1[[#This Row],[Date]])</f>
        <v>2023</v>
      </c>
      <c r="C339" t="s">
        <v>56</v>
      </c>
      <c r="D339" t="s">
        <v>7</v>
      </c>
      <c r="E339" t="s">
        <v>10</v>
      </c>
      <c r="F339">
        <v>2176</v>
      </c>
      <c r="G339">
        <v>126.78026243400009</v>
      </c>
      <c r="H339" t="str">
        <f>VLOOKUP(Table1[[#This Row],[Manager]],Managers!$A$2:$B$9,2,FALSE)</f>
        <v>Chanandler Bong</v>
      </c>
      <c r="I339" t="str">
        <f>VLOOKUP(Table1[[#This Row],[Product]],Products!$A$2:$B$11,2,FALSE)</f>
        <v>Mockolate</v>
      </c>
      <c r="J339" t="str">
        <f>IF(Table1[[#This Row],[Sales]]&gt;4000,"Exceeded the target",IF(AND(Table1[[#This Row],[Sales]]&lt;=4000,Table1[[#This Row],[Sales]]&lt;2500),"Did not meet the target","met the target"))</f>
        <v>Did not meet the target</v>
      </c>
      <c r="K339">
        <f>Table1[[#This Row],[Sales]]-Table1[[#This Row],[Commission]]</f>
        <v>2049.2197375659998</v>
      </c>
      <c r="L339">
        <f>Table1[[#This Row],[Sales]]+Table1[[#This Row],[Commission]]-Table1[[#This Row],[Revenue]]</f>
        <v>253.56052486800036</v>
      </c>
      <c r="M339">
        <f>Table1[[#This Row],[Revenue]]-Table1[[#This Row],[Cost]]</f>
        <v>1795.6592126979995</v>
      </c>
    </row>
    <row r="340" spans="1:13" x14ac:dyDescent="0.3">
      <c r="A340" s="1">
        <v>45077</v>
      </c>
      <c r="B340">
        <f>YEAR(Table1[[#This Row],[Date]])</f>
        <v>2023</v>
      </c>
      <c r="C340" t="s">
        <v>57</v>
      </c>
      <c r="D340" t="s">
        <v>7</v>
      </c>
      <c r="E340" t="s">
        <v>9</v>
      </c>
      <c r="F340">
        <v>2720</v>
      </c>
      <c r="G340">
        <v>112.83120536725571</v>
      </c>
      <c r="H340" t="str">
        <f>VLOOKUP(Table1[[#This Row],[Manager]],Managers!$A$2:$B$9,2,FALSE)</f>
        <v>Chanandler Bong</v>
      </c>
      <c r="I340" t="str">
        <f>VLOOKUP(Table1[[#This Row],[Product]],Products!$A$2:$B$11,2,FALSE)</f>
        <v>Floor Cheesecake</v>
      </c>
      <c r="J340" t="str">
        <f>IF(Table1[[#This Row],[Sales]]&gt;4000,"Exceeded the target",IF(AND(Table1[[#This Row],[Sales]]&lt;=4000,Table1[[#This Row],[Sales]]&lt;2500),"Did not meet the target","met the target"))</f>
        <v>met the target</v>
      </c>
      <c r="K340">
        <f>Table1[[#This Row],[Sales]]-Table1[[#This Row],[Commission]]</f>
        <v>2607.1687946327443</v>
      </c>
      <c r="L340">
        <f>Table1[[#This Row],[Sales]]+Table1[[#This Row],[Commission]]-Table1[[#This Row],[Revenue]]</f>
        <v>225.66241073451147</v>
      </c>
      <c r="M340">
        <f>Table1[[#This Row],[Revenue]]-Table1[[#This Row],[Cost]]</f>
        <v>2381.5063838982328</v>
      </c>
    </row>
    <row r="341" spans="1:13" x14ac:dyDescent="0.3">
      <c r="A341" s="1">
        <v>45107</v>
      </c>
      <c r="B341">
        <f>YEAR(Table1[[#This Row],[Date]])</f>
        <v>2023</v>
      </c>
      <c r="C341" t="s">
        <v>58</v>
      </c>
      <c r="D341" t="s">
        <v>7</v>
      </c>
      <c r="E341" t="s">
        <v>8</v>
      </c>
      <c r="F341">
        <v>2910</v>
      </c>
      <c r="G341">
        <v>202.7701087334448</v>
      </c>
      <c r="H341" t="str">
        <f>VLOOKUP(Table1[[#This Row],[Manager]],Managers!$A$2:$B$9,2,FALSE)</f>
        <v>Chanandler Bong</v>
      </c>
      <c r="I341" t="str">
        <f>VLOOKUP(Table1[[#This Row],[Product]],Products!$A$2:$B$11,2,FALSE)</f>
        <v>Traditional English Trifle</v>
      </c>
      <c r="J341" t="str">
        <f>IF(Table1[[#This Row],[Sales]]&gt;4000,"Exceeded the target",IF(AND(Table1[[#This Row],[Sales]]&lt;=4000,Table1[[#This Row],[Sales]]&lt;2500),"Did not meet the target","met the target"))</f>
        <v>met the target</v>
      </c>
      <c r="K341">
        <f>Table1[[#This Row],[Sales]]-Table1[[#This Row],[Commission]]</f>
        <v>2707.2298912665551</v>
      </c>
      <c r="L341">
        <f>Table1[[#This Row],[Sales]]+Table1[[#This Row],[Commission]]-Table1[[#This Row],[Revenue]]</f>
        <v>405.54021746688977</v>
      </c>
      <c r="M341">
        <f>Table1[[#This Row],[Revenue]]-Table1[[#This Row],[Cost]]</f>
        <v>2301.6896737996653</v>
      </c>
    </row>
    <row r="342" spans="1:13" x14ac:dyDescent="0.3">
      <c r="A342" s="1">
        <v>45107</v>
      </c>
      <c r="B342">
        <f>YEAR(Table1[[#This Row],[Date]])</f>
        <v>2023</v>
      </c>
      <c r="C342" t="s">
        <v>59</v>
      </c>
      <c r="D342" t="s">
        <v>7</v>
      </c>
      <c r="E342" t="s">
        <v>9</v>
      </c>
      <c r="F342">
        <v>3860</v>
      </c>
      <c r="G342">
        <v>154.31045433911609</v>
      </c>
      <c r="H342" t="str">
        <f>VLOOKUP(Table1[[#This Row],[Manager]],Managers!$A$2:$B$9,2,FALSE)</f>
        <v>Chanandler Bong</v>
      </c>
      <c r="I342" t="str">
        <f>VLOOKUP(Table1[[#This Row],[Product]],Products!$A$2:$B$11,2,FALSE)</f>
        <v>Floor Cheesecake</v>
      </c>
      <c r="J342" t="str">
        <f>IF(Table1[[#This Row],[Sales]]&gt;4000,"Exceeded the target",IF(AND(Table1[[#This Row],[Sales]]&lt;=4000,Table1[[#This Row],[Sales]]&lt;2500),"Did not meet the target","met the target"))</f>
        <v>met the target</v>
      </c>
      <c r="K342">
        <f>Table1[[#This Row],[Sales]]-Table1[[#This Row],[Commission]]</f>
        <v>3705.6895456608841</v>
      </c>
      <c r="L342">
        <f>Table1[[#This Row],[Sales]]+Table1[[#This Row],[Commission]]-Table1[[#This Row],[Revenue]]</f>
        <v>308.6209086782319</v>
      </c>
      <c r="M342">
        <f>Table1[[#This Row],[Revenue]]-Table1[[#This Row],[Cost]]</f>
        <v>3397.0686369826522</v>
      </c>
    </row>
    <row r="343" spans="1:13" x14ac:dyDescent="0.3">
      <c r="A343" s="1">
        <v>45107</v>
      </c>
      <c r="B343">
        <f>YEAR(Table1[[#This Row],[Date]])</f>
        <v>2023</v>
      </c>
      <c r="C343" t="s">
        <v>60</v>
      </c>
      <c r="D343" t="s">
        <v>7</v>
      </c>
      <c r="E343" t="s">
        <v>10</v>
      </c>
      <c r="F343">
        <v>1216</v>
      </c>
      <c r="G343">
        <v>41.631275373471773</v>
      </c>
      <c r="H343" t="str">
        <f>VLOOKUP(Table1[[#This Row],[Manager]],Managers!$A$2:$B$9,2,FALSE)</f>
        <v>Chanandler Bong</v>
      </c>
      <c r="I343" t="str">
        <f>VLOOKUP(Table1[[#This Row],[Product]],Products!$A$2:$B$11,2,FALSE)</f>
        <v>Mockolate</v>
      </c>
      <c r="J343" t="str">
        <f>IF(Table1[[#This Row],[Sales]]&gt;4000,"Exceeded the target",IF(AND(Table1[[#This Row],[Sales]]&lt;=4000,Table1[[#This Row],[Sales]]&lt;2500),"Did not meet the target","met the target"))</f>
        <v>Did not meet the target</v>
      </c>
      <c r="K343">
        <f>Table1[[#This Row],[Sales]]-Table1[[#This Row],[Commission]]</f>
        <v>1174.3687246265283</v>
      </c>
      <c r="L343">
        <f>Table1[[#This Row],[Sales]]+Table1[[#This Row],[Commission]]-Table1[[#This Row],[Revenue]]</f>
        <v>83.262550746943361</v>
      </c>
      <c r="M343">
        <f>Table1[[#This Row],[Revenue]]-Table1[[#This Row],[Cost]]</f>
        <v>1091.106173879585</v>
      </c>
    </row>
    <row r="344" spans="1:13" x14ac:dyDescent="0.3">
      <c r="A344" s="1">
        <v>45138</v>
      </c>
      <c r="B344">
        <f>YEAR(Table1[[#This Row],[Date]])</f>
        <v>2023</v>
      </c>
      <c r="C344" t="s">
        <v>61</v>
      </c>
      <c r="D344" t="s">
        <v>7</v>
      </c>
      <c r="E344" t="s">
        <v>10</v>
      </c>
      <c r="F344">
        <v>3775</v>
      </c>
      <c r="G344">
        <v>239.96755746105649</v>
      </c>
      <c r="H344" t="str">
        <f>VLOOKUP(Table1[[#This Row],[Manager]],Managers!$A$2:$B$9,2,FALSE)</f>
        <v>Chanandler Bong</v>
      </c>
      <c r="I344" t="str">
        <f>VLOOKUP(Table1[[#This Row],[Product]],Products!$A$2:$B$11,2,FALSE)</f>
        <v>Mockolate</v>
      </c>
      <c r="J344" t="str">
        <f>IF(Table1[[#This Row],[Sales]]&gt;4000,"Exceeded the target",IF(AND(Table1[[#This Row],[Sales]]&lt;=4000,Table1[[#This Row],[Sales]]&lt;2500),"Did not meet the target","met the target"))</f>
        <v>met the target</v>
      </c>
      <c r="K344">
        <f>Table1[[#This Row],[Sales]]-Table1[[#This Row],[Commission]]</f>
        <v>3535.0324425389435</v>
      </c>
      <c r="L344">
        <f>Table1[[#This Row],[Sales]]+Table1[[#This Row],[Commission]]-Table1[[#This Row],[Revenue]]</f>
        <v>479.93511492211292</v>
      </c>
      <c r="M344">
        <f>Table1[[#This Row],[Revenue]]-Table1[[#This Row],[Cost]]</f>
        <v>3055.0973276168306</v>
      </c>
    </row>
    <row r="345" spans="1:13" x14ac:dyDescent="0.3">
      <c r="A345" s="1">
        <v>45138</v>
      </c>
      <c r="B345">
        <f>YEAR(Table1[[#This Row],[Date]])</f>
        <v>2023</v>
      </c>
      <c r="C345" t="s">
        <v>62</v>
      </c>
      <c r="D345" t="s">
        <v>7</v>
      </c>
      <c r="E345" t="s">
        <v>9</v>
      </c>
      <c r="F345">
        <v>4781</v>
      </c>
      <c r="G345">
        <v>201.65653822683859</v>
      </c>
      <c r="H345" t="str">
        <f>VLOOKUP(Table1[[#This Row],[Manager]],Managers!$A$2:$B$9,2,FALSE)</f>
        <v>Chanandler Bong</v>
      </c>
      <c r="I345" t="str">
        <f>VLOOKUP(Table1[[#This Row],[Product]],Products!$A$2:$B$11,2,FALSE)</f>
        <v>Floor Cheesecake</v>
      </c>
      <c r="J345" t="str">
        <f>IF(Table1[[#This Row],[Sales]]&gt;4000,"Exceeded the target",IF(AND(Table1[[#This Row],[Sales]]&lt;=4000,Table1[[#This Row],[Sales]]&lt;2500),"Did not meet the target","met the target"))</f>
        <v>Exceeded the target</v>
      </c>
      <c r="K345">
        <f>Table1[[#This Row],[Sales]]-Table1[[#This Row],[Commission]]</f>
        <v>4579.3434617731618</v>
      </c>
      <c r="L345">
        <f>Table1[[#This Row],[Sales]]+Table1[[#This Row],[Commission]]-Table1[[#This Row],[Revenue]]</f>
        <v>403.31307645367633</v>
      </c>
      <c r="M345">
        <f>Table1[[#This Row],[Revenue]]-Table1[[#This Row],[Cost]]</f>
        <v>4176.0303853194855</v>
      </c>
    </row>
    <row r="346" spans="1:13" x14ac:dyDescent="0.3">
      <c r="A346" s="1">
        <v>45138</v>
      </c>
      <c r="B346">
        <f>YEAR(Table1[[#This Row],[Date]])</f>
        <v>2023</v>
      </c>
      <c r="C346" t="s">
        <v>63</v>
      </c>
      <c r="D346" t="s">
        <v>7</v>
      </c>
      <c r="E346" t="s">
        <v>8</v>
      </c>
      <c r="F346">
        <v>3749</v>
      </c>
      <c r="G346">
        <v>179.84577563721319</v>
      </c>
      <c r="H346" t="str">
        <f>VLOOKUP(Table1[[#This Row],[Manager]],Managers!$A$2:$B$9,2,FALSE)</f>
        <v>Chanandler Bong</v>
      </c>
      <c r="I346" t="str">
        <f>VLOOKUP(Table1[[#This Row],[Product]],Products!$A$2:$B$11,2,FALSE)</f>
        <v>Traditional English Trifle</v>
      </c>
      <c r="J346" t="str">
        <f>IF(Table1[[#This Row],[Sales]]&gt;4000,"Exceeded the target",IF(AND(Table1[[#This Row],[Sales]]&lt;=4000,Table1[[#This Row],[Sales]]&lt;2500),"Did not meet the target","met the target"))</f>
        <v>met the target</v>
      </c>
      <c r="K346">
        <f>Table1[[#This Row],[Sales]]-Table1[[#This Row],[Commission]]</f>
        <v>3569.1542243627869</v>
      </c>
      <c r="L346">
        <f>Table1[[#This Row],[Sales]]+Table1[[#This Row],[Commission]]-Table1[[#This Row],[Revenue]]</f>
        <v>359.69155127442627</v>
      </c>
      <c r="M346">
        <f>Table1[[#This Row],[Revenue]]-Table1[[#This Row],[Cost]]</f>
        <v>3209.4626730883606</v>
      </c>
    </row>
    <row r="347" spans="1:13" x14ac:dyDescent="0.3">
      <c r="A347" s="1">
        <v>45169</v>
      </c>
      <c r="B347">
        <f>YEAR(Table1[[#This Row],[Date]])</f>
        <v>2023</v>
      </c>
      <c r="C347" t="s">
        <v>64</v>
      </c>
      <c r="D347" t="s">
        <v>7</v>
      </c>
      <c r="E347" t="s">
        <v>10</v>
      </c>
      <c r="F347">
        <v>2241</v>
      </c>
      <c r="G347">
        <v>104.6534786367145</v>
      </c>
      <c r="H347" t="str">
        <f>VLOOKUP(Table1[[#This Row],[Manager]],Managers!$A$2:$B$9,2,FALSE)</f>
        <v>Chanandler Bong</v>
      </c>
      <c r="I347" t="str">
        <f>VLOOKUP(Table1[[#This Row],[Product]],Products!$A$2:$B$11,2,FALSE)</f>
        <v>Mockolate</v>
      </c>
      <c r="J347" t="str">
        <f>IF(Table1[[#This Row],[Sales]]&gt;4000,"Exceeded the target",IF(AND(Table1[[#This Row],[Sales]]&lt;=4000,Table1[[#This Row],[Sales]]&lt;2500),"Did not meet the target","met the target"))</f>
        <v>Did not meet the target</v>
      </c>
      <c r="K347">
        <f>Table1[[#This Row],[Sales]]-Table1[[#This Row],[Commission]]</f>
        <v>2136.3465213632853</v>
      </c>
      <c r="L347">
        <f>Table1[[#This Row],[Sales]]+Table1[[#This Row],[Commission]]-Table1[[#This Row],[Revenue]]</f>
        <v>209.30695727342936</v>
      </c>
      <c r="M347">
        <f>Table1[[#This Row],[Revenue]]-Table1[[#This Row],[Cost]]</f>
        <v>1927.039564089856</v>
      </c>
    </row>
    <row r="348" spans="1:13" x14ac:dyDescent="0.3">
      <c r="A348" s="1">
        <v>45169</v>
      </c>
      <c r="B348">
        <f>YEAR(Table1[[#This Row],[Date]])</f>
        <v>2023</v>
      </c>
      <c r="C348" t="s">
        <v>65</v>
      </c>
      <c r="D348" t="s">
        <v>7</v>
      </c>
      <c r="E348" t="s">
        <v>9</v>
      </c>
      <c r="F348">
        <v>2563</v>
      </c>
      <c r="G348">
        <v>92.509404427106134</v>
      </c>
      <c r="H348" t="str">
        <f>VLOOKUP(Table1[[#This Row],[Manager]],Managers!$A$2:$B$9,2,FALSE)</f>
        <v>Chanandler Bong</v>
      </c>
      <c r="I348" t="str">
        <f>VLOOKUP(Table1[[#This Row],[Product]],Products!$A$2:$B$11,2,FALSE)</f>
        <v>Floor Cheesecake</v>
      </c>
      <c r="J348" t="str">
        <f>IF(Table1[[#This Row],[Sales]]&gt;4000,"Exceeded the target",IF(AND(Table1[[#This Row],[Sales]]&lt;=4000,Table1[[#This Row],[Sales]]&lt;2500),"Did not meet the target","met the target"))</f>
        <v>met the target</v>
      </c>
      <c r="K348">
        <f>Table1[[#This Row],[Sales]]-Table1[[#This Row],[Commission]]</f>
        <v>2470.4905955728937</v>
      </c>
      <c r="L348">
        <f>Table1[[#This Row],[Sales]]+Table1[[#This Row],[Commission]]-Table1[[#This Row],[Revenue]]</f>
        <v>185.01880885421269</v>
      </c>
      <c r="M348">
        <f>Table1[[#This Row],[Revenue]]-Table1[[#This Row],[Cost]]</f>
        <v>2285.471786718681</v>
      </c>
    </row>
    <row r="349" spans="1:13" x14ac:dyDescent="0.3">
      <c r="A349" s="1">
        <v>45169</v>
      </c>
      <c r="B349">
        <f>YEAR(Table1[[#This Row],[Date]])</f>
        <v>2023</v>
      </c>
      <c r="C349" t="s">
        <v>66</v>
      </c>
      <c r="D349" t="s">
        <v>7</v>
      </c>
      <c r="E349" t="s">
        <v>8</v>
      </c>
      <c r="F349">
        <v>1770</v>
      </c>
      <c r="G349">
        <v>73.829817425988736</v>
      </c>
      <c r="H349" t="str">
        <f>VLOOKUP(Table1[[#This Row],[Manager]],Managers!$A$2:$B$9,2,FALSE)</f>
        <v>Chanandler Bong</v>
      </c>
      <c r="I349" t="str">
        <f>VLOOKUP(Table1[[#This Row],[Product]],Products!$A$2:$B$11,2,FALSE)</f>
        <v>Traditional English Trifle</v>
      </c>
      <c r="J349" t="str">
        <f>IF(Table1[[#This Row],[Sales]]&gt;4000,"Exceeded the target",IF(AND(Table1[[#This Row],[Sales]]&lt;=4000,Table1[[#This Row],[Sales]]&lt;2500),"Did not meet the target","met the target"))</f>
        <v>Did not meet the target</v>
      </c>
      <c r="K349">
        <f>Table1[[#This Row],[Sales]]-Table1[[#This Row],[Commission]]</f>
        <v>1696.1701825740113</v>
      </c>
      <c r="L349">
        <f>Table1[[#This Row],[Sales]]+Table1[[#This Row],[Commission]]-Table1[[#This Row],[Revenue]]</f>
        <v>147.65963485197744</v>
      </c>
      <c r="M349">
        <f>Table1[[#This Row],[Revenue]]-Table1[[#This Row],[Cost]]</f>
        <v>1548.5105477220338</v>
      </c>
    </row>
    <row r="350" spans="1:13" x14ac:dyDescent="0.3">
      <c r="A350" s="1">
        <v>45199</v>
      </c>
      <c r="B350">
        <f>YEAR(Table1[[#This Row],[Date]])</f>
        <v>2023</v>
      </c>
      <c r="C350" t="s">
        <v>55</v>
      </c>
      <c r="D350" t="s">
        <v>7</v>
      </c>
      <c r="E350" t="s">
        <v>10</v>
      </c>
      <c r="F350">
        <v>4971</v>
      </c>
      <c r="G350">
        <v>198.52453339709791</v>
      </c>
      <c r="H350" t="str">
        <f>VLOOKUP(Table1[[#This Row],[Manager]],Managers!$A$2:$B$9,2,FALSE)</f>
        <v>Chanandler Bong</v>
      </c>
      <c r="I350" t="str">
        <f>VLOOKUP(Table1[[#This Row],[Product]],Products!$A$2:$B$11,2,FALSE)</f>
        <v>Mockolate</v>
      </c>
      <c r="J350" t="str">
        <f>IF(Table1[[#This Row],[Sales]]&gt;4000,"Exceeded the target",IF(AND(Table1[[#This Row],[Sales]]&lt;=4000,Table1[[#This Row],[Sales]]&lt;2500),"Did not meet the target","met the target"))</f>
        <v>Exceeded the target</v>
      </c>
      <c r="K350">
        <f>Table1[[#This Row],[Sales]]-Table1[[#This Row],[Commission]]</f>
        <v>4772.4754666029021</v>
      </c>
      <c r="L350">
        <f>Table1[[#This Row],[Sales]]+Table1[[#This Row],[Commission]]-Table1[[#This Row],[Revenue]]</f>
        <v>397.04906679419582</v>
      </c>
      <c r="M350">
        <f>Table1[[#This Row],[Revenue]]-Table1[[#This Row],[Cost]]</f>
        <v>4375.4263998087063</v>
      </c>
    </row>
    <row r="351" spans="1:13" x14ac:dyDescent="0.3">
      <c r="A351" s="1">
        <v>45199</v>
      </c>
      <c r="B351">
        <f>YEAR(Table1[[#This Row],[Date]])</f>
        <v>2023</v>
      </c>
      <c r="C351" t="s">
        <v>56</v>
      </c>
      <c r="D351" t="s">
        <v>7</v>
      </c>
      <c r="E351" t="s">
        <v>9</v>
      </c>
      <c r="F351">
        <v>3967</v>
      </c>
      <c r="G351">
        <v>182.7539037940347</v>
      </c>
      <c r="H351" t="str">
        <f>VLOOKUP(Table1[[#This Row],[Manager]],Managers!$A$2:$B$9,2,FALSE)</f>
        <v>Chanandler Bong</v>
      </c>
      <c r="I351" t="str">
        <f>VLOOKUP(Table1[[#This Row],[Product]],Products!$A$2:$B$11,2,FALSE)</f>
        <v>Floor Cheesecake</v>
      </c>
      <c r="J351" t="str">
        <f>IF(Table1[[#This Row],[Sales]]&gt;4000,"Exceeded the target",IF(AND(Table1[[#This Row],[Sales]]&lt;=4000,Table1[[#This Row],[Sales]]&lt;2500),"Did not meet the target","met the target"))</f>
        <v>met the target</v>
      </c>
      <c r="K351">
        <f>Table1[[#This Row],[Sales]]-Table1[[#This Row],[Commission]]</f>
        <v>3784.2460962059654</v>
      </c>
      <c r="L351">
        <f>Table1[[#This Row],[Sales]]+Table1[[#This Row],[Commission]]-Table1[[#This Row],[Revenue]]</f>
        <v>365.50780758806968</v>
      </c>
      <c r="M351">
        <f>Table1[[#This Row],[Revenue]]-Table1[[#This Row],[Cost]]</f>
        <v>3418.7382886178957</v>
      </c>
    </row>
    <row r="352" spans="1:13" x14ac:dyDescent="0.3">
      <c r="A352" s="1">
        <v>45199</v>
      </c>
      <c r="B352">
        <f>YEAR(Table1[[#This Row],[Date]])</f>
        <v>2023</v>
      </c>
      <c r="C352" t="s">
        <v>57</v>
      </c>
      <c r="D352" t="s">
        <v>7</v>
      </c>
      <c r="E352" t="s">
        <v>8</v>
      </c>
      <c r="F352">
        <v>1297</v>
      </c>
      <c r="G352">
        <v>62.538442473467398</v>
      </c>
      <c r="H352" t="str">
        <f>VLOOKUP(Table1[[#This Row],[Manager]],Managers!$A$2:$B$9,2,FALSE)</f>
        <v>Chanandler Bong</v>
      </c>
      <c r="I352" t="str">
        <f>VLOOKUP(Table1[[#This Row],[Product]],Products!$A$2:$B$11,2,FALSE)</f>
        <v>Traditional English Trifle</v>
      </c>
      <c r="J352" t="str">
        <f>IF(Table1[[#This Row],[Sales]]&gt;4000,"Exceeded the target",IF(AND(Table1[[#This Row],[Sales]]&lt;=4000,Table1[[#This Row],[Sales]]&lt;2500),"Did not meet the target","met the target"))</f>
        <v>Did not meet the target</v>
      </c>
      <c r="K352">
        <f>Table1[[#This Row],[Sales]]-Table1[[#This Row],[Commission]]</f>
        <v>1234.4615575265325</v>
      </c>
      <c r="L352">
        <f>Table1[[#This Row],[Sales]]+Table1[[#This Row],[Commission]]-Table1[[#This Row],[Revenue]]</f>
        <v>125.07688494693502</v>
      </c>
      <c r="M352">
        <f>Table1[[#This Row],[Revenue]]-Table1[[#This Row],[Cost]]</f>
        <v>1109.3846725795975</v>
      </c>
    </row>
    <row r="353" spans="1:13" x14ac:dyDescent="0.3">
      <c r="A353" s="1">
        <v>45230</v>
      </c>
      <c r="B353">
        <f>YEAR(Table1[[#This Row],[Date]])</f>
        <v>2023</v>
      </c>
      <c r="C353" t="s">
        <v>58</v>
      </c>
      <c r="D353" t="s">
        <v>7</v>
      </c>
      <c r="E353" t="s">
        <v>9</v>
      </c>
      <c r="F353">
        <v>3389</v>
      </c>
      <c r="G353">
        <v>201.99762057273301</v>
      </c>
      <c r="H353" t="str">
        <f>VLOOKUP(Table1[[#This Row],[Manager]],Managers!$A$2:$B$9,2,FALSE)</f>
        <v>Chanandler Bong</v>
      </c>
      <c r="I353" t="str">
        <f>VLOOKUP(Table1[[#This Row],[Product]],Products!$A$2:$B$11,2,FALSE)</f>
        <v>Floor Cheesecake</v>
      </c>
      <c r="J353" t="str">
        <f>IF(Table1[[#This Row],[Sales]]&gt;4000,"Exceeded the target",IF(AND(Table1[[#This Row],[Sales]]&lt;=4000,Table1[[#This Row],[Sales]]&lt;2500),"Did not meet the target","met the target"))</f>
        <v>met the target</v>
      </c>
      <c r="K353">
        <f>Table1[[#This Row],[Sales]]-Table1[[#This Row],[Commission]]</f>
        <v>3187.002379427267</v>
      </c>
      <c r="L353">
        <f>Table1[[#This Row],[Sales]]+Table1[[#This Row],[Commission]]-Table1[[#This Row],[Revenue]]</f>
        <v>403.99524114546603</v>
      </c>
      <c r="M353">
        <f>Table1[[#This Row],[Revenue]]-Table1[[#This Row],[Cost]]</f>
        <v>2783.007138281801</v>
      </c>
    </row>
    <row r="354" spans="1:13" x14ac:dyDescent="0.3">
      <c r="A354" s="1">
        <v>45230</v>
      </c>
      <c r="B354">
        <f>YEAR(Table1[[#This Row],[Date]])</f>
        <v>2023</v>
      </c>
      <c r="C354" t="s">
        <v>59</v>
      </c>
      <c r="D354" t="s">
        <v>7</v>
      </c>
      <c r="E354" t="s">
        <v>10</v>
      </c>
      <c r="F354">
        <v>1865</v>
      </c>
      <c r="G354">
        <v>106.7163802932548</v>
      </c>
      <c r="H354" t="str">
        <f>VLOOKUP(Table1[[#This Row],[Manager]],Managers!$A$2:$B$9,2,FALSE)</f>
        <v>Chanandler Bong</v>
      </c>
      <c r="I354" t="str">
        <f>VLOOKUP(Table1[[#This Row],[Product]],Products!$A$2:$B$11,2,FALSE)</f>
        <v>Mockolate</v>
      </c>
      <c r="J354" t="str">
        <f>IF(Table1[[#This Row],[Sales]]&gt;4000,"Exceeded the target",IF(AND(Table1[[#This Row],[Sales]]&lt;=4000,Table1[[#This Row],[Sales]]&lt;2500),"Did not meet the target","met the target"))</f>
        <v>Did not meet the target</v>
      </c>
      <c r="K354">
        <f>Table1[[#This Row],[Sales]]-Table1[[#This Row],[Commission]]</f>
        <v>1758.2836197067452</v>
      </c>
      <c r="L354">
        <f>Table1[[#This Row],[Sales]]+Table1[[#This Row],[Commission]]-Table1[[#This Row],[Revenue]]</f>
        <v>213.43276058650963</v>
      </c>
      <c r="M354">
        <f>Table1[[#This Row],[Revenue]]-Table1[[#This Row],[Cost]]</f>
        <v>1544.8508591202356</v>
      </c>
    </row>
    <row r="355" spans="1:13" x14ac:dyDescent="0.3">
      <c r="A355" s="1">
        <v>45230</v>
      </c>
      <c r="B355">
        <f>YEAR(Table1[[#This Row],[Date]])</f>
        <v>2023</v>
      </c>
      <c r="C355" t="s">
        <v>60</v>
      </c>
      <c r="D355" t="s">
        <v>7</v>
      </c>
      <c r="E355" t="s">
        <v>8</v>
      </c>
      <c r="F355">
        <v>2085</v>
      </c>
      <c r="G355">
        <v>91.612897485393646</v>
      </c>
      <c r="H355" t="str">
        <f>VLOOKUP(Table1[[#This Row],[Manager]],Managers!$A$2:$B$9,2,FALSE)</f>
        <v>Chanandler Bong</v>
      </c>
      <c r="I355" t="str">
        <f>VLOOKUP(Table1[[#This Row],[Product]],Products!$A$2:$B$11,2,FALSE)</f>
        <v>Traditional English Trifle</v>
      </c>
      <c r="J355" t="str">
        <f>IF(Table1[[#This Row],[Sales]]&gt;4000,"Exceeded the target",IF(AND(Table1[[#This Row],[Sales]]&lt;=4000,Table1[[#This Row],[Sales]]&lt;2500),"Did not meet the target","met the target"))</f>
        <v>Did not meet the target</v>
      </c>
      <c r="K355">
        <f>Table1[[#This Row],[Sales]]-Table1[[#This Row],[Commission]]</f>
        <v>1993.3871025146063</v>
      </c>
      <c r="L355">
        <f>Table1[[#This Row],[Sales]]+Table1[[#This Row],[Commission]]-Table1[[#This Row],[Revenue]]</f>
        <v>183.22579497078732</v>
      </c>
      <c r="M355">
        <f>Table1[[#This Row],[Revenue]]-Table1[[#This Row],[Cost]]</f>
        <v>1810.161307543819</v>
      </c>
    </row>
    <row r="356" spans="1:13" x14ac:dyDescent="0.3">
      <c r="A356" s="1">
        <v>45260</v>
      </c>
      <c r="B356">
        <f>YEAR(Table1[[#This Row],[Date]])</f>
        <v>2023</v>
      </c>
      <c r="C356" t="s">
        <v>61</v>
      </c>
      <c r="D356" t="s">
        <v>7</v>
      </c>
      <c r="E356" t="s">
        <v>9</v>
      </c>
      <c r="F356">
        <v>1894</v>
      </c>
      <c r="G356">
        <v>126.6791643434825</v>
      </c>
      <c r="H356" t="str">
        <f>VLOOKUP(Table1[[#This Row],[Manager]],Managers!$A$2:$B$9,2,FALSE)</f>
        <v>Chanandler Bong</v>
      </c>
      <c r="I356" t="str">
        <f>VLOOKUP(Table1[[#This Row],[Product]],Products!$A$2:$B$11,2,FALSE)</f>
        <v>Floor Cheesecake</v>
      </c>
      <c r="J356" t="str">
        <f>IF(Table1[[#This Row],[Sales]]&gt;4000,"Exceeded the target",IF(AND(Table1[[#This Row],[Sales]]&lt;=4000,Table1[[#This Row],[Sales]]&lt;2500),"Did not meet the target","met the target"))</f>
        <v>Did not meet the target</v>
      </c>
      <c r="K356">
        <f>Table1[[#This Row],[Sales]]-Table1[[#This Row],[Commission]]</f>
        <v>1767.3208356565176</v>
      </c>
      <c r="L356">
        <f>Table1[[#This Row],[Sales]]+Table1[[#This Row],[Commission]]-Table1[[#This Row],[Revenue]]</f>
        <v>253.3583286869648</v>
      </c>
      <c r="M356">
        <f>Table1[[#This Row],[Revenue]]-Table1[[#This Row],[Cost]]</f>
        <v>1513.9625069695528</v>
      </c>
    </row>
    <row r="357" spans="1:13" x14ac:dyDescent="0.3">
      <c r="A357" s="1">
        <v>45260</v>
      </c>
      <c r="B357">
        <f>YEAR(Table1[[#This Row],[Date]])</f>
        <v>2023</v>
      </c>
      <c r="C357" t="s">
        <v>62</v>
      </c>
      <c r="D357" t="s">
        <v>7</v>
      </c>
      <c r="E357" t="s">
        <v>10</v>
      </c>
      <c r="F357">
        <v>2973</v>
      </c>
      <c r="G357">
        <v>99.832691295312472</v>
      </c>
      <c r="H357" t="str">
        <f>VLOOKUP(Table1[[#This Row],[Manager]],Managers!$A$2:$B$9,2,FALSE)</f>
        <v>Chanandler Bong</v>
      </c>
      <c r="I357" t="str">
        <f>VLOOKUP(Table1[[#This Row],[Product]],Products!$A$2:$B$11,2,FALSE)</f>
        <v>Mockolate</v>
      </c>
      <c r="J357" t="str">
        <f>IF(Table1[[#This Row],[Sales]]&gt;4000,"Exceeded the target",IF(AND(Table1[[#This Row],[Sales]]&lt;=4000,Table1[[#This Row],[Sales]]&lt;2500),"Did not meet the target","met the target"))</f>
        <v>met the target</v>
      </c>
      <c r="K357">
        <f>Table1[[#This Row],[Sales]]-Table1[[#This Row],[Commission]]</f>
        <v>2873.1673087046875</v>
      </c>
      <c r="L357">
        <f>Table1[[#This Row],[Sales]]+Table1[[#This Row],[Commission]]-Table1[[#This Row],[Revenue]]</f>
        <v>199.66538259062509</v>
      </c>
      <c r="M357">
        <f>Table1[[#This Row],[Revenue]]-Table1[[#This Row],[Cost]]</f>
        <v>2673.5019261140624</v>
      </c>
    </row>
    <row r="358" spans="1:13" x14ac:dyDescent="0.3">
      <c r="A358" s="1">
        <v>45260</v>
      </c>
      <c r="B358">
        <f>YEAR(Table1[[#This Row],[Date]])</f>
        <v>2023</v>
      </c>
      <c r="C358" t="s">
        <v>63</v>
      </c>
      <c r="D358" t="s">
        <v>7</v>
      </c>
      <c r="E358" t="s">
        <v>8</v>
      </c>
      <c r="F358">
        <v>1197</v>
      </c>
      <c r="G358">
        <v>61.312121833265991</v>
      </c>
      <c r="H358" t="str">
        <f>VLOOKUP(Table1[[#This Row],[Manager]],Managers!$A$2:$B$9,2,FALSE)</f>
        <v>Chanandler Bong</v>
      </c>
      <c r="I358" t="str">
        <f>VLOOKUP(Table1[[#This Row],[Product]],Products!$A$2:$B$11,2,FALSE)</f>
        <v>Traditional English Trifle</v>
      </c>
      <c r="J358" t="str">
        <f>IF(Table1[[#This Row],[Sales]]&gt;4000,"Exceeded the target",IF(AND(Table1[[#This Row],[Sales]]&lt;=4000,Table1[[#This Row],[Sales]]&lt;2500),"Did not meet the target","met the target"))</f>
        <v>Did not meet the target</v>
      </c>
      <c r="K358">
        <f>Table1[[#This Row],[Sales]]-Table1[[#This Row],[Commission]]</f>
        <v>1135.687878166734</v>
      </c>
      <c r="L358">
        <f>Table1[[#This Row],[Sales]]+Table1[[#This Row],[Commission]]-Table1[[#This Row],[Revenue]]</f>
        <v>122.62424366653204</v>
      </c>
      <c r="M358">
        <f>Table1[[#This Row],[Revenue]]-Table1[[#This Row],[Cost]]</f>
        <v>1013.0636345002019</v>
      </c>
    </row>
    <row r="359" spans="1:13" x14ac:dyDescent="0.3">
      <c r="A359" s="1">
        <v>45291</v>
      </c>
      <c r="B359">
        <f>YEAR(Table1[[#This Row],[Date]])</f>
        <v>2023</v>
      </c>
      <c r="C359" t="s">
        <v>64</v>
      </c>
      <c r="D359" t="s">
        <v>7</v>
      </c>
      <c r="E359" t="s">
        <v>9</v>
      </c>
      <c r="F359">
        <v>3852</v>
      </c>
      <c r="G359">
        <v>208.06843589200429</v>
      </c>
      <c r="H359" t="str">
        <f>VLOOKUP(Table1[[#This Row],[Manager]],Managers!$A$2:$B$9,2,FALSE)</f>
        <v>Chanandler Bong</v>
      </c>
      <c r="I359" t="str">
        <f>VLOOKUP(Table1[[#This Row],[Product]],Products!$A$2:$B$11,2,FALSE)</f>
        <v>Floor Cheesecake</v>
      </c>
      <c r="J359" t="str">
        <f>IF(Table1[[#This Row],[Sales]]&gt;4000,"Exceeded the target",IF(AND(Table1[[#This Row],[Sales]]&lt;=4000,Table1[[#This Row],[Sales]]&lt;2500),"Did not meet the target","met the target"))</f>
        <v>met the target</v>
      </c>
      <c r="K359">
        <f>Table1[[#This Row],[Sales]]-Table1[[#This Row],[Commission]]</f>
        <v>3643.9315641079957</v>
      </c>
      <c r="L359">
        <f>Table1[[#This Row],[Sales]]+Table1[[#This Row],[Commission]]-Table1[[#This Row],[Revenue]]</f>
        <v>416.13687178400869</v>
      </c>
      <c r="M359">
        <f>Table1[[#This Row],[Revenue]]-Table1[[#This Row],[Cost]]</f>
        <v>3227.794692323987</v>
      </c>
    </row>
    <row r="360" spans="1:13" x14ac:dyDescent="0.3">
      <c r="A360" s="1">
        <v>45291</v>
      </c>
      <c r="B360">
        <f>YEAR(Table1[[#This Row],[Date]])</f>
        <v>2023</v>
      </c>
      <c r="C360" t="s">
        <v>65</v>
      </c>
      <c r="D360" t="s">
        <v>7</v>
      </c>
      <c r="E360" t="s">
        <v>8</v>
      </c>
      <c r="F360">
        <v>2908</v>
      </c>
      <c r="G360">
        <v>162.52191478095429</v>
      </c>
      <c r="H360" t="str">
        <f>VLOOKUP(Table1[[#This Row],[Manager]],Managers!$A$2:$B$9,2,FALSE)</f>
        <v>Chanandler Bong</v>
      </c>
      <c r="I360" t="str">
        <f>VLOOKUP(Table1[[#This Row],[Product]],Products!$A$2:$B$11,2,FALSE)</f>
        <v>Traditional English Trifle</v>
      </c>
      <c r="J360" t="str">
        <f>IF(Table1[[#This Row],[Sales]]&gt;4000,"Exceeded the target",IF(AND(Table1[[#This Row],[Sales]]&lt;=4000,Table1[[#This Row],[Sales]]&lt;2500),"Did not meet the target","met the target"))</f>
        <v>met the target</v>
      </c>
      <c r="K360">
        <f>Table1[[#This Row],[Sales]]-Table1[[#This Row],[Commission]]</f>
        <v>2745.4780852190456</v>
      </c>
      <c r="L360">
        <f>Table1[[#This Row],[Sales]]+Table1[[#This Row],[Commission]]-Table1[[#This Row],[Revenue]]</f>
        <v>325.04382956190875</v>
      </c>
      <c r="M360">
        <f>Table1[[#This Row],[Revenue]]-Table1[[#This Row],[Cost]]</f>
        <v>2420.4342556571369</v>
      </c>
    </row>
    <row r="361" spans="1:13" x14ac:dyDescent="0.3">
      <c r="A361" s="1">
        <v>45291</v>
      </c>
      <c r="B361">
        <f>YEAR(Table1[[#This Row],[Date]])</f>
        <v>2023</v>
      </c>
      <c r="C361" t="s">
        <v>66</v>
      </c>
      <c r="D361" t="s">
        <v>7</v>
      </c>
      <c r="E361" t="s">
        <v>10</v>
      </c>
      <c r="F361">
        <v>1176</v>
      </c>
      <c r="G361">
        <v>62.974311253002362</v>
      </c>
      <c r="H361" t="str">
        <f>VLOOKUP(Table1[[#This Row],[Manager]],Managers!$A$2:$B$9,2,FALSE)</f>
        <v>Chanandler Bong</v>
      </c>
      <c r="I361" t="str">
        <f>VLOOKUP(Table1[[#This Row],[Product]],Products!$A$2:$B$11,2,FALSE)</f>
        <v>Mockolate</v>
      </c>
      <c r="J361" t="str">
        <f>IF(Table1[[#This Row],[Sales]]&gt;4000,"Exceeded the target",IF(AND(Table1[[#This Row],[Sales]]&lt;=4000,Table1[[#This Row],[Sales]]&lt;2500),"Did not meet the target","met the target"))</f>
        <v>Did not meet the target</v>
      </c>
      <c r="K361">
        <f>Table1[[#This Row],[Sales]]-Table1[[#This Row],[Commission]]</f>
        <v>1113.0256887469977</v>
      </c>
      <c r="L361">
        <f>Table1[[#This Row],[Sales]]+Table1[[#This Row],[Commission]]-Table1[[#This Row],[Revenue]]</f>
        <v>125.94862250600454</v>
      </c>
      <c r="M361">
        <f>Table1[[#This Row],[Revenue]]-Table1[[#This Row],[Cost]]</f>
        <v>987.07706624099319</v>
      </c>
    </row>
    <row r="362" spans="1:13" x14ac:dyDescent="0.3">
      <c r="A362" t="s">
        <v>54</v>
      </c>
      <c r="F362">
        <f>SUBTOTAL(109,Table1[Sales])</f>
        <v>1078504</v>
      </c>
      <c r="G362">
        <f>SUBTOTAL(109,Table1[Commission])</f>
        <v>53484.898514654451</v>
      </c>
      <c r="H362">
        <f>SUBTOTAL(109,Table1[Manager names])</f>
        <v>0</v>
      </c>
      <c r="I362">
        <f>SUBTOTAL(109,Table1[Product Description])</f>
        <v>0</v>
      </c>
      <c r="J362">
        <f>SUBTOTAL(109,Table1[Qualitative Column])</f>
        <v>0</v>
      </c>
      <c r="K362">
        <f>SUBTOTAL(109,Table1[Revenue])</f>
        <v>1025019.101485345</v>
      </c>
      <c r="L362">
        <f>SUBTOTAL(109,Table1[Cost])</f>
        <v>106969.7970293089</v>
      </c>
      <c r="M362">
        <f>SUBTOTAL(109,Table1[Net Proceed])</f>
        <v>918049.30445603665</v>
      </c>
    </row>
  </sheetData>
  <phoneticPr fontId="2" type="noConversion"/>
  <pageMargins left="0.7" right="0.7" top="0.75" bottom="0.75" header="0.3" footer="0.3"/>
  <ignoredErrors>
    <ignoredError sqref="C335 C336:C346 C347:C361"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D9EC-177F-430C-BF7A-5B4A014DB37B}">
  <dimension ref="A1:M122"/>
  <sheetViews>
    <sheetView tabSelected="1" zoomScale="82" workbookViewId="0">
      <selection activeCell="G6" sqref="G6"/>
    </sheetView>
  </sheetViews>
  <sheetFormatPr defaultRowHeight="14.4" x14ac:dyDescent="0.3"/>
  <cols>
    <col min="1" max="1" width="9.88671875" customWidth="1"/>
    <col min="2" max="2" width="20" customWidth="1"/>
    <col min="3" max="3" width="17.33203125" customWidth="1"/>
    <col min="4" max="4" width="15.109375" bestFit="1" customWidth="1"/>
    <col min="5" max="5" width="16.88671875" bestFit="1" customWidth="1"/>
    <col min="6" max="6" width="6.88671875" bestFit="1" customWidth="1"/>
    <col min="7" max="7" width="16.88671875" bestFit="1" customWidth="1"/>
    <col min="8" max="8" width="7.44140625" bestFit="1" customWidth="1"/>
    <col min="10" max="10" width="20.21875" customWidth="1"/>
    <col min="11" max="11" width="25.109375" customWidth="1"/>
    <col min="12" max="12" width="24.5546875" bestFit="1" customWidth="1"/>
    <col min="13" max="13" width="20.33203125" customWidth="1"/>
  </cols>
  <sheetData>
    <row r="1" spans="1:13" x14ac:dyDescent="0.3">
      <c r="A1" s="12" t="s">
        <v>68</v>
      </c>
      <c r="B1" s="12"/>
      <c r="C1" s="12"/>
    </row>
    <row r="2" spans="1:13" ht="21" x14ac:dyDescent="0.4">
      <c r="A2" t="s">
        <v>50</v>
      </c>
      <c r="B2" t="s">
        <v>51</v>
      </c>
      <c r="C2" t="s">
        <v>35</v>
      </c>
      <c r="D2" t="s">
        <v>12</v>
      </c>
      <c r="F2" s="13" t="s">
        <v>71</v>
      </c>
      <c r="G2" s="14"/>
      <c r="J2" s="12" t="s">
        <v>79</v>
      </c>
      <c r="K2" s="12"/>
    </row>
    <row r="3" spans="1:13" x14ac:dyDescent="0.3">
      <c r="A3">
        <v>2022</v>
      </c>
      <c r="B3" t="s">
        <v>55</v>
      </c>
      <c r="C3" t="s">
        <v>16</v>
      </c>
      <c r="D3">
        <v>9992</v>
      </c>
    </row>
    <row r="4" spans="1:13" x14ac:dyDescent="0.3">
      <c r="A4">
        <v>2022</v>
      </c>
      <c r="B4" t="s">
        <v>56</v>
      </c>
      <c r="C4" t="s">
        <v>16</v>
      </c>
      <c r="D4">
        <v>12660</v>
      </c>
    </row>
    <row r="5" spans="1:13" x14ac:dyDescent="0.3">
      <c r="A5">
        <v>2022</v>
      </c>
      <c r="B5" t="s">
        <v>57</v>
      </c>
      <c r="C5" t="s">
        <v>16</v>
      </c>
      <c r="D5">
        <v>9928</v>
      </c>
      <c r="F5" t="s">
        <v>50</v>
      </c>
      <c r="G5" t="s">
        <v>35</v>
      </c>
      <c r="H5" t="s">
        <v>12</v>
      </c>
      <c r="J5" t="s">
        <v>73</v>
      </c>
      <c r="K5" t="s">
        <v>69</v>
      </c>
      <c r="L5" t="s">
        <v>70</v>
      </c>
      <c r="M5" t="s">
        <v>67</v>
      </c>
    </row>
    <row r="6" spans="1:13" x14ac:dyDescent="0.3">
      <c r="A6">
        <v>2022</v>
      </c>
      <c r="B6" t="s">
        <v>58</v>
      </c>
      <c r="C6" t="s">
        <v>16</v>
      </c>
      <c r="D6">
        <v>7675</v>
      </c>
      <c r="F6">
        <v>2022</v>
      </c>
      <c r="G6" t="s">
        <v>34</v>
      </c>
      <c r="H6">
        <v>113558</v>
      </c>
      <c r="J6" t="s">
        <v>34</v>
      </c>
      <c r="K6">
        <f>COUNTIFS(Table1__3_1[Sales],"&gt;10000",Table1__3_1[Manager names],Table12[[#This Row],[Mananger names]])</f>
        <v>7</v>
      </c>
      <c r="L6">
        <f>COUNTIFS(Table1__3_1[Sales],"&lt;7500",Table1__3_1[Manager names],Table12[[#This Row],[Mananger names]])</f>
        <v>3</v>
      </c>
      <c r="M6">
        <f>Table12[[#This Row],[Sales Above $10000/Times]]-Table12[[#This Row],[Sales Below $7500/Times]]</f>
        <v>4</v>
      </c>
    </row>
    <row r="7" spans="1:13" x14ac:dyDescent="0.3">
      <c r="A7">
        <v>2022</v>
      </c>
      <c r="B7" t="s">
        <v>59</v>
      </c>
      <c r="C7" t="s">
        <v>16</v>
      </c>
      <c r="D7">
        <v>12019</v>
      </c>
      <c r="F7">
        <v>2022</v>
      </c>
      <c r="G7" t="s">
        <v>17</v>
      </c>
      <c r="H7">
        <v>111983</v>
      </c>
      <c r="J7" t="s">
        <v>17</v>
      </c>
      <c r="K7">
        <f>COUNTIFS(Table1__3_1[Sales],"&gt;10000",Table1__3_1[Manager names],Table12[[#This Row],[Mananger names]])</f>
        <v>6</v>
      </c>
      <c r="L7">
        <f>COUNTIFS(Table1__3_1[Sales],"&lt;7500",Table1__3_1[Manager names],Table12[[#This Row],[Mananger names]])</f>
        <v>8</v>
      </c>
      <c r="M7">
        <f>Table12[[#This Row],[Sales Above $10000/Times]]-Table12[[#This Row],[Sales Below $7500/Times]]</f>
        <v>-2</v>
      </c>
    </row>
    <row r="8" spans="1:13" x14ac:dyDescent="0.3">
      <c r="A8">
        <v>2022</v>
      </c>
      <c r="B8" t="s">
        <v>60</v>
      </c>
      <c r="C8" t="s">
        <v>16</v>
      </c>
      <c r="D8">
        <v>7412</v>
      </c>
      <c r="F8">
        <v>2022</v>
      </c>
      <c r="G8" t="s">
        <v>16</v>
      </c>
      <c r="H8">
        <v>110483</v>
      </c>
      <c r="J8" t="s">
        <v>16</v>
      </c>
      <c r="K8">
        <f>COUNTIFS(Table1__3_1[Sales],"&gt;10000",Table1__3_1[Manager names],Table12[[#This Row],[Mananger names]])</f>
        <v>5</v>
      </c>
      <c r="L8">
        <f>COUNTIFS(Table1__3_1[Sales],"&lt;7500",Table1__3_1[Manager names],Table12[[#This Row],[Mananger names]])</f>
        <v>8</v>
      </c>
      <c r="M8">
        <f>Table12[[#This Row],[Sales Above $10000/Times]]-Table12[[#This Row],[Sales Below $7500/Times]]</f>
        <v>-3</v>
      </c>
    </row>
    <row r="9" spans="1:13" x14ac:dyDescent="0.3">
      <c r="A9">
        <v>2022</v>
      </c>
      <c r="B9" t="s">
        <v>61</v>
      </c>
      <c r="C9" t="s">
        <v>16</v>
      </c>
      <c r="D9">
        <v>8165</v>
      </c>
      <c r="F9">
        <v>2022</v>
      </c>
      <c r="G9" t="s">
        <v>15</v>
      </c>
      <c r="H9">
        <v>107280</v>
      </c>
      <c r="J9" t="s">
        <v>15</v>
      </c>
      <c r="K9">
        <f>COUNTIFS(Table1__3_1[Sales],"&gt;10000",Table1__3_1[Manager names],Table12[[#This Row],[Mananger names]])</f>
        <v>7</v>
      </c>
      <c r="L9">
        <f>COUNTIFS(Table1__3_1[Sales],"&lt;7500",Table1__3_1[Manager names],Table12[[#This Row],[Mananger names]])</f>
        <v>3</v>
      </c>
      <c r="M9">
        <f>Table12[[#This Row],[Sales Above $10000/Times]]-Table12[[#This Row],[Sales Below $7500/Times]]</f>
        <v>4</v>
      </c>
    </row>
    <row r="10" spans="1:13" x14ac:dyDescent="0.3">
      <c r="A10">
        <v>2022</v>
      </c>
      <c r="B10" t="s">
        <v>62</v>
      </c>
      <c r="C10" t="s">
        <v>16</v>
      </c>
      <c r="D10">
        <v>7163</v>
      </c>
      <c r="F10">
        <v>2022</v>
      </c>
      <c r="G10" t="s">
        <v>33</v>
      </c>
      <c r="H10">
        <v>107244</v>
      </c>
      <c r="J10" t="s">
        <v>33</v>
      </c>
      <c r="K10">
        <f>COUNTIFS(Table1__3_1[Sales],"&gt;10000",Table1__3_1[Manager names],Table12[[#This Row],[Mananger names]])</f>
        <v>5</v>
      </c>
      <c r="L10">
        <f>COUNTIFS(Table1__3_1[Sales],"&lt;7500",Table1__3_1[Manager names],Table12[[#This Row],[Mananger names]])</f>
        <v>2</v>
      </c>
      <c r="M10">
        <f>Table12[[#This Row],[Sales Above $10000/Times]]-Table12[[#This Row],[Sales Below $7500/Times]]</f>
        <v>3</v>
      </c>
    </row>
    <row r="11" spans="1:13" x14ac:dyDescent="0.3">
      <c r="A11">
        <v>2022</v>
      </c>
      <c r="B11" t="s">
        <v>63</v>
      </c>
      <c r="C11" t="s">
        <v>16</v>
      </c>
      <c r="D11">
        <v>6766</v>
      </c>
    </row>
    <row r="12" spans="1:13" x14ac:dyDescent="0.3">
      <c r="A12">
        <v>2022</v>
      </c>
      <c r="B12" t="s">
        <v>64</v>
      </c>
      <c r="C12" t="s">
        <v>16</v>
      </c>
      <c r="D12">
        <v>10184</v>
      </c>
    </row>
    <row r="13" spans="1:13" ht="21" x14ac:dyDescent="0.4">
      <c r="A13">
        <v>2022</v>
      </c>
      <c r="B13" t="s">
        <v>65</v>
      </c>
      <c r="C13" t="s">
        <v>16</v>
      </c>
      <c r="D13">
        <v>9480</v>
      </c>
      <c r="F13" s="13" t="s">
        <v>72</v>
      </c>
      <c r="G13" s="15"/>
    </row>
    <row r="14" spans="1:13" x14ac:dyDescent="0.3">
      <c r="A14">
        <v>2022</v>
      </c>
      <c r="B14" t="s">
        <v>66</v>
      </c>
      <c r="C14" t="s">
        <v>16</v>
      </c>
      <c r="D14">
        <v>9039</v>
      </c>
    </row>
    <row r="15" spans="1:13" x14ac:dyDescent="0.3">
      <c r="A15">
        <v>2023</v>
      </c>
      <c r="B15" t="s">
        <v>55</v>
      </c>
      <c r="C15" t="s">
        <v>16</v>
      </c>
      <c r="D15">
        <v>6491</v>
      </c>
      <c r="F15" t="s">
        <v>50</v>
      </c>
      <c r="G15" t="s">
        <v>35</v>
      </c>
      <c r="H15" t="s">
        <v>12</v>
      </c>
    </row>
    <row r="16" spans="1:13" x14ac:dyDescent="0.3">
      <c r="A16">
        <v>2023</v>
      </c>
      <c r="B16" t="s">
        <v>56</v>
      </c>
      <c r="C16" t="s">
        <v>16</v>
      </c>
      <c r="D16">
        <v>5711</v>
      </c>
      <c r="F16">
        <v>2023</v>
      </c>
      <c r="G16" t="s">
        <v>34</v>
      </c>
      <c r="H16">
        <v>113903</v>
      </c>
    </row>
    <row r="17" spans="1:8" x14ac:dyDescent="0.3">
      <c r="A17">
        <v>2023</v>
      </c>
      <c r="B17" t="s">
        <v>57</v>
      </c>
      <c r="C17" t="s">
        <v>16</v>
      </c>
      <c r="D17">
        <v>6950</v>
      </c>
      <c r="F17">
        <v>2023</v>
      </c>
      <c r="G17" t="s">
        <v>33</v>
      </c>
      <c r="H17">
        <v>111599</v>
      </c>
    </row>
    <row r="18" spans="1:8" x14ac:dyDescent="0.3">
      <c r="A18">
        <v>2023</v>
      </c>
      <c r="B18" t="s">
        <v>58</v>
      </c>
      <c r="C18" t="s">
        <v>16</v>
      </c>
      <c r="D18">
        <v>8232</v>
      </c>
      <c r="F18">
        <v>2023</v>
      </c>
      <c r="G18" t="s">
        <v>15</v>
      </c>
      <c r="H18">
        <v>107342</v>
      </c>
    </row>
    <row r="19" spans="1:8" x14ac:dyDescent="0.3">
      <c r="A19">
        <v>2023</v>
      </c>
      <c r="B19" t="s">
        <v>59</v>
      </c>
      <c r="C19" t="s">
        <v>16</v>
      </c>
      <c r="D19">
        <v>9236</v>
      </c>
      <c r="F19">
        <v>2023</v>
      </c>
      <c r="G19" t="s">
        <v>16</v>
      </c>
      <c r="H19">
        <v>98177</v>
      </c>
    </row>
    <row r="20" spans="1:8" x14ac:dyDescent="0.3">
      <c r="A20">
        <v>2023</v>
      </c>
      <c r="B20" t="s">
        <v>60</v>
      </c>
      <c r="C20" t="s">
        <v>16</v>
      </c>
      <c r="D20">
        <v>8002</v>
      </c>
      <c r="F20">
        <v>2023</v>
      </c>
      <c r="G20" t="s">
        <v>17</v>
      </c>
      <c r="H20">
        <v>96935</v>
      </c>
    </row>
    <row r="21" spans="1:8" x14ac:dyDescent="0.3">
      <c r="A21">
        <v>2023</v>
      </c>
      <c r="B21" t="s">
        <v>61</v>
      </c>
      <c r="C21" t="s">
        <v>16</v>
      </c>
      <c r="D21">
        <v>6544</v>
      </c>
    </row>
    <row r="22" spans="1:8" x14ac:dyDescent="0.3">
      <c r="A22">
        <v>2023</v>
      </c>
      <c r="B22" t="s">
        <v>62</v>
      </c>
      <c r="C22" t="s">
        <v>16</v>
      </c>
      <c r="D22">
        <v>10766</v>
      </c>
    </row>
    <row r="23" spans="1:8" x14ac:dyDescent="0.3">
      <c r="A23">
        <v>2023</v>
      </c>
      <c r="B23" t="s">
        <v>63</v>
      </c>
      <c r="C23" t="s">
        <v>16</v>
      </c>
      <c r="D23">
        <v>6839</v>
      </c>
    </row>
    <row r="24" spans="1:8" x14ac:dyDescent="0.3">
      <c r="A24">
        <v>2023</v>
      </c>
      <c r="B24" t="s">
        <v>64</v>
      </c>
      <c r="C24" t="s">
        <v>16</v>
      </c>
      <c r="D24">
        <v>9586</v>
      </c>
    </row>
    <row r="25" spans="1:8" x14ac:dyDescent="0.3">
      <c r="A25">
        <v>2023</v>
      </c>
      <c r="B25" t="s">
        <v>65</v>
      </c>
      <c r="C25" t="s">
        <v>16</v>
      </c>
      <c r="D25">
        <v>10920</v>
      </c>
    </row>
    <row r="26" spans="1:8" x14ac:dyDescent="0.3">
      <c r="A26">
        <v>2023</v>
      </c>
      <c r="B26" t="s">
        <v>66</v>
      </c>
      <c r="C26" t="s">
        <v>16</v>
      </c>
      <c r="D26">
        <v>8900</v>
      </c>
    </row>
    <row r="27" spans="1:8" x14ac:dyDescent="0.3">
      <c r="A27">
        <v>2022</v>
      </c>
      <c r="B27" t="s">
        <v>55</v>
      </c>
      <c r="C27" t="s">
        <v>33</v>
      </c>
      <c r="D27">
        <v>7862</v>
      </c>
    </row>
    <row r="28" spans="1:8" x14ac:dyDescent="0.3">
      <c r="A28">
        <v>2022</v>
      </c>
      <c r="B28" t="s">
        <v>56</v>
      </c>
      <c r="C28" t="s">
        <v>33</v>
      </c>
      <c r="D28">
        <v>9625</v>
      </c>
    </row>
    <row r="29" spans="1:8" x14ac:dyDescent="0.3">
      <c r="A29">
        <v>2022</v>
      </c>
      <c r="B29" t="s">
        <v>57</v>
      </c>
      <c r="C29" t="s">
        <v>33</v>
      </c>
      <c r="D29">
        <v>8512</v>
      </c>
    </row>
    <row r="30" spans="1:8" x14ac:dyDescent="0.3">
      <c r="A30">
        <v>2022</v>
      </c>
      <c r="B30" t="s">
        <v>58</v>
      </c>
      <c r="C30" t="s">
        <v>33</v>
      </c>
      <c r="D30">
        <v>9741</v>
      </c>
    </row>
    <row r="31" spans="1:8" x14ac:dyDescent="0.3">
      <c r="A31">
        <v>2022</v>
      </c>
      <c r="B31" t="s">
        <v>59</v>
      </c>
      <c r="C31" t="s">
        <v>33</v>
      </c>
      <c r="D31">
        <v>7085</v>
      </c>
    </row>
    <row r="32" spans="1:8" x14ac:dyDescent="0.3">
      <c r="A32">
        <v>2022</v>
      </c>
      <c r="B32" t="s">
        <v>60</v>
      </c>
      <c r="C32" t="s">
        <v>33</v>
      </c>
      <c r="D32">
        <v>10171</v>
      </c>
    </row>
    <row r="33" spans="1:4" x14ac:dyDescent="0.3">
      <c r="A33">
        <v>2022</v>
      </c>
      <c r="B33" t="s">
        <v>61</v>
      </c>
      <c r="C33" t="s">
        <v>33</v>
      </c>
      <c r="D33">
        <v>9694</v>
      </c>
    </row>
    <row r="34" spans="1:4" x14ac:dyDescent="0.3">
      <c r="A34">
        <v>2022</v>
      </c>
      <c r="B34" t="s">
        <v>62</v>
      </c>
      <c r="C34" t="s">
        <v>33</v>
      </c>
      <c r="D34">
        <v>9144</v>
      </c>
    </row>
    <row r="35" spans="1:4" x14ac:dyDescent="0.3">
      <c r="A35">
        <v>2022</v>
      </c>
      <c r="B35" t="s">
        <v>63</v>
      </c>
      <c r="C35" t="s">
        <v>33</v>
      </c>
      <c r="D35">
        <v>8521</v>
      </c>
    </row>
    <row r="36" spans="1:4" x14ac:dyDescent="0.3">
      <c r="A36">
        <v>2022</v>
      </c>
      <c r="B36" t="s">
        <v>64</v>
      </c>
      <c r="C36" t="s">
        <v>33</v>
      </c>
      <c r="D36">
        <v>9233</v>
      </c>
    </row>
    <row r="37" spans="1:4" x14ac:dyDescent="0.3">
      <c r="A37">
        <v>2022</v>
      </c>
      <c r="B37" t="s">
        <v>65</v>
      </c>
      <c r="C37" t="s">
        <v>33</v>
      </c>
      <c r="D37">
        <v>7278</v>
      </c>
    </row>
    <row r="38" spans="1:4" x14ac:dyDescent="0.3">
      <c r="A38">
        <v>2022</v>
      </c>
      <c r="B38" t="s">
        <v>66</v>
      </c>
      <c r="C38" t="s">
        <v>33</v>
      </c>
      <c r="D38">
        <v>10378</v>
      </c>
    </row>
    <row r="39" spans="1:4" x14ac:dyDescent="0.3">
      <c r="A39">
        <v>2023</v>
      </c>
      <c r="B39" t="s">
        <v>55</v>
      </c>
      <c r="C39" t="s">
        <v>33</v>
      </c>
      <c r="D39">
        <v>8212</v>
      </c>
    </row>
    <row r="40" spans="1:4" x14ac:dyDescent="0.3">
      <c r="A40">
        <v>2023</v>
      </c>
      <c r="B40" t="s">
        <v>56</v>
      </c>
      <c r="C40" t="s">
        <v>33</v>
      </c>
      <c r="D40">
        <v>9979</v>
      </c>
    </row>
    <row r="41" spans="1:4" x14ac:dyDescent="0.3">
      <c r="A41">
        <v>2023</v>
      </c>
      <c r="B41" t="s">
        <v>57</v>
      </c>
      <c r="C41" t="s">
        <v>33</v>
      </c>
      <c r="D41">
        <v>12324</v>
      </c>
    </row>
    <row r="42" spans="1:4" x14ac:dyDescent="0.3">
      <c r="A42">
        <v>2023</v>
      </c>
      <c r="B42" t="s">
        <v>58</v>
      </c>
      <c r="C42" t="s">
        <v>33</v>
      </c>
      <c r="D42">
        <v>8701</v>
      </c>
    </row>
    <row r="43" spans="1:4" x14ac:dyDescent="0.3">
      <c r="A43">
        <v>2023</v>
      </c>
      <c r="B43" t="s">
        <v>59</v>
      </c>
      <c r="C43" t="s">
        <v>33</v>
      </c>
      <c r="D43">
        <v>8759</v>
      </c>
    </row>
    <row r="44" spans="1:4" x14ac:dyDescent="0.3">
      <c r="A44">
        <v>2023</v>
      </c>
      <c r="B44" t="s">
        <v>60</v>
      </c>
      <c r="C44" t="s">
        <v>33</v>
      </c>
      <c r="D44">
        <v>10341</v>
      </c>
    </row>
    <row r="45" spans="1:4" x14ac:dyDescent="0.3">
      <c r="A45">
        <v>2023</v>
      </c>
      <c r="B45" t="s">
        <v>61</v>
      </c>
      <c r="C45" t="s">
        <v>33</v>
      </c>
      <c r="D45">
        <v>10876</v>
      </c>
    </row>
    <row r="46" spans="1:4" x14ac:dyDescent="0.3">
      <c r="A46">
        <v>2023</v>
      </c>
      <c r="B46" t="s">
        <v>62</v>
      </c>
      <c r="C46" t="s">
        <v>33</v>
      </c>
      <c r="D46">
        <v>8062</v>
      </c>
    </row>
    <row r="47" spans="1:4" x14ac:dyDescent="0.3">
      <c r="A47">
        <v>2023</v>
      </c>
      <c r="B47" t="s">
        <v>63</v>
      </c>
      <c r="C47" t="s">
        <v>33</v>
      </c>
      <c r="D47">
        <v>8367</v>
      </c>
    </row>
    <row r="48" spans="1:4" x14ac:dyDescent="0.3">
      <c r="A48">
        <v>2023</v>
      </c>
      <c r="B48" t="s">
        <v>64</v>
      </c>
      <c r="C48" t="s">
        <v>33</v>
      </c>
      <c r="D48">
        <v>9542</v>
      </c>
    </row>
    <row r="49" spans="1:4" x14ac:dyDescent="0.3">
      <c r="A49">
        <v>2023</v>
      </c>
      <c r="B49" t="s">
        <v>65</v>
      </c>
      <c r="C49" t="s">
        <v>33</v>
      </c>
      <c r="D49">
        <v>8886</v>
      </c>
    </row>
    <row r="50" spans="1:4" x14ac:dyDescent="0.3">
      <c r="A50">
        <v>2023</v>
      </c>
      <c r="B50" t="s">
        <v>66</v>
      </c>
      <c r="C50" t="s">
        <v>33</v>
      </c>
      <c r="D50">
        <v>7550</v>
      </c>
    </row>
    <row r="51" spans="1:4" x14ac:dyDescent="0.3">
      <c r="A51">
        <v>2022</v>
      </c>
      <c r="B51" t="s">
        <v>55</v>
      </c>
      <c r="C51" t="s">
        <v>34</v>
      </c>
      <c r="D51">
        <v>9195</v>
      </c>
    </row>
    <row r="52" spans="1:4" x14ac:dyDescent="0.3">
      <c r="A52">
        <v>2022</v>
      </c>
      <c r="B52" t="s">
        <v>56</v>
      </c>
      <c r="C52" t="s">
        <v>34</v>
      </c>
      <c r="D52">
        <v>9956</v>
      </c>
    </row>
    <row r="53" spans="1:4" x14ac:dyDescent="0.3">
      <c r="A53">
        <v>2022</v>
      </c>
      <c r="B53" t="s">
        <v>57</v>
      </c>
      <c r="C53" t="s">
        <v>34</v>
      </c>
      <c r="D53">
        <v>10420</v>
      </c>
    </row>
    <row r="54" spans="1:4" x14ac:dyDescent="0.3">
      <c r="A54">
        <v>2022</v>
      </c>
      <c r="B54" t="s">
        <v>58</v>
      </c>
      <c r="C54" t="s">
        <v>34</v>
      </c>
      <c r="D54">
        <v>9721</v>
      </c>
    </row>
    <row r="55" spans="1:4" x14ac:dyDescent="0.3">
      <c r="A55">
        <v>2022</v>
      </c>
      <c r="B55" t="s">
        <v>59</v>
      </c>
      <c r="C55" t="s">
        <v>34</v>
      </c>
      <c r="D55">
        <v>9308</v>
      </c>
    </row>
    <row r="56" spans="1:4" x14ac:dyDescent="0.3">
      <c r="A56">
        <v>2022</v>
      </c>
      <c r="B56" t="s">
        <v>60</v>
      </c>
      <c r="C56" t="s">
        <v>34</v>
      </c>
      <c r="D56">
        <v>5490</v>
      </c>
    </row>
    <row r="57" spans="1:4" x14ac:dyDescent="0.3">
      <c r="A57">
        <v>2022</v>
      </c>
      <c r="B57" t="s">
        <v>61</v>
      </c>
      <c r="C57" t="s">
        <v>34</v>
      </c>
      <c r="D57">
        <v>8721</v>
      </c>
    </row>
    <row r="58" spans="1:4" x14ac:dyDescent="0.3">
      <c r="A58">
        <v>2022</v>
      </c>
      <c r="B58" t="s">
        <v>62</v>
      </c>
      <c r="C58" t="s">
        <v>34</v>
      </c>
      <c r="D58">
        <v>9769</v>
      </c>
    </row>
    <row r="59" spans="1:4" x14ac:dyDescent="0.3">
      <c r="A59">
        <v>2022</v>
      </c>
      <c r="B59" t="s">
        <v>63</v>
      </c>
      <c r="C59" t="s">
        <v>34</v>
      </c>
      <c r="D59">
        <v>10908</v>
      </c>
    </row>
    <row r="60" spans="1:4" x14ac:dyDescent="0.3">
      <c r="A60">
        <v>2022</v>
      </c>
      <c r="B60" t="s">
        <v>64</v>
      </c>
      <c r="C60" t="s">
        <v>34</v>
      </c>
      <c r="D60">
        <v>8356</v>
      </c>
    </row>
    <row r="61" spans="1:4" x14ac:dyDescent="0.3">
      <c r="A61">
        <v>2022</v>
      </c>
      <c r="B61" t="s">
        <v>65</v>
      </c>
      <c r="C61" t="s">
        <v>34</v>
      </c>
      <c r="D61">
        <v>9723</v>
      </c>
    </row>
    <row r="62" spans="1:4" x14ac:dyDescent="0.3">
      <c r="A62">
        <v>2022</v>
      </c>
      <c r="B62" t="s">
        <v>66</v>
      </c>
      <c r="C62" t="s">
        <v>34</v>
      </c>
      <c r="D62">
        <v>11991</v>
      </c>
    </row>
    <row r="63" spans="1:4" x14ac:dyDescent="0.3">
      <c r="A63">
        <v>2023</v>
      </c>
      <c r="B63" t="s">
        <v>55</v>
      </c>
      <c r="C63" t="s">
        <v>34</v>
      </c>
      <c r="D63">
        <v>6051</v>
      </c>
    </row>
    <row r="64" spans="1:4" x14ac:dyDescent="0.3">
      <c r="A64">
        <v>2023</v>
      </c>
      <c r="B64" t="s">
        <v>56</v>
      </c>
      <c r="C64" t="s">
        <v>34</v>
      </c>
      <c r="D64">
        <v>10144</v>
      </c>
    </row>
    <row r="65" spans="1:4" x14ac:dyDescent="0.3">
      <c r="A65">
        <v>2023</v>
      </c>
      <c r="B65" t="s">
        <v>57</v>
      </c>
      <c r="C65" t="s">
        <v>34</v>
      </c>
      <c r="D65">
        <v>14122</v>
      </c>
    </row>
    <row r="66" spans="1:4" x14ac:dyDescent="0.3">
      <c r="A66">
        <v>2023</v>
      </c>
      <c r="B66" t="s">
        <v>58</v>
      </c>
      <c r="C66" t="s">
        <v>34</v>
      </c>
      <c r="D66">
        <v>6356</v>
      </c>
    </row>
    <row r="67" spans="1:4" x14ac:dyDescent="0.3">
      <c r="A67">
        <v>2023</v>
      </c>
      <c r="B67" t="s">
        <v>59</v>
      </c>
      <c r="C67" t="s">
        <v>34</v>
      </c>
      <c r="D67">
        <v>9330</v>
      </c>
    </row>
    <row r="68" spans="1:4" x14ac:dyDescent="0.3">
      <c r="A68">
        <v>2023</v>
      </c>
      <c r="B68" t="s">
        <v>60</v>
      </c>
      <c r="C68" t="s">
        <v>34</v>
      </c>
      <c r="D68">
        <v>8152</v>
      </c>
    </row>
    <row r="69" spans="1:4" x14ac:dyDescent="0.3">
      <c r="A69">
        <v>2023</v>
      </c>
      <c r="B69" t="s">
        <v>61</v>
      </c>
      <c r="C69" t="s">
        <v>34</v>
      </c>
      <c r="D69">
        <v>9044</v>
      </c>
    </row>
    <row r="70" spans="1:4" x14ac:dyDescent="0.3">
      <c r="A70">
        <v>2023</v>
      </c>
      <c r="B70" t="s">
        <v>62</v>
      </c>
      <c r="C70" t="s">
        <v>34</v>
      </c>
      <c r="D70">
        <v>9872</v>
      </c>
    </row>
    <row r="71" spans="1:4" x14ac:dyDescent="0.3">
      <c r="A71">
        <v>2023</v>
      </c>
      <c r="B71" t="s">
        <v>63</v>
      </c>
      <c r="C71" t="s">
        <v>34</v>
      </c>
      <c r="D71">
        <v>10811</v>
      </c>
    </row>
    <row r="72" spans="1:4" x14ac:dyDescent="0.3">
      <c r="A72">
        <v>2023</v>
      </c>
      <c r="B72" t="s">
        <v>64</v>
      </c>
      <c r="C72" t="s">
        <v>34</v>
      </c>
      <c r="D72">
        <v>12902</v>
      </c>
    </row>
    <row r="73" spans="1:4" x14ac:dyDescent="0.3">
      <c r="A73">
        <v>2023</v>
      </c>
      <c r="B73" t="s">
        <v>65</v>
      </c>
      <c r="C73" t="s">
        <v>34</v>
      </c>
      <c r="D73">
        <v>8131</v>
      </c>
    </row>
    <row r="74" spans="1:4" x14ac:dyDescent="0.3">
      <c r="A74">
        <v>2023</v>
      </c>
      <c r="B74" t="s">
        <v>66</v>
      </c>
      <c r="C74" t="s">
        <v>34</v>
      </c>
      <c r="D74">
        <v>8988</v>
      </c>
    </row>
    <row r="75" spans="1:4" x14ac:dyDescent="0.3">
      <c r="A75">
        <v>2022</v>
      </c>
      <c r="B75" t="s">
        <v>55</v>
      </c>
      <c r="C75" t="s">
        <v>17</v>
      </c>
      <c r="D75">
        <v>8850</v>
      </c>
    </row>
    <row r="76" spans="1:4" x14ac:dyDescent="0.3">
      <c r="A76">
        <v>2022</v>
      </c>
      <c r="B76" t="s">
        <v>56</v>
      </c>
      <c r="C76" t="s">
        <v>17</v>
      </c>
      <c r="D76">
        <v>11270</v>
      </c>
    </row>
    <row r="77" spans="1:4" x14ac:dyDescent="0.3">
      <c r="A77">
        <v>2022</v>
      </c>
      <c r="B77" t="s">
        <v>57</v>
      </c>
      <c r="C77" t="s">
        <v>17</v>
      </c>
      <c r="D77">
        <v>8493</v>
      </c>
    </row>
    <row r="78" spans="1:4" x14ac:dyDescent="0.3">
      <c r="A78">
        <v>2022</v>
      </c>
      <c r="B78" t="s">
        <v>58</v>
      </c>
      <c r="C78" t="s">
        <v>17</v>
      </c>
      <c r="D78">
        <v>6849</v>
      </c>
    </row>
    <row r="79" spans="1:4" x14ac:dyDescent="0.3">
      <c r="A79">
        <v>2022</v>
      </c>
      <c r="B79" t="s">
        <v>59</v>
      </c>
      <c r="C79" t="s">
        <v>17</v>
      </c>
      <c r="D79">
        <v>11672</v>
      </c>
    </row>
    <row r="80" spans="1:4" x14ac:dyDescent="0.3">
      <c r="A80">
        <v>2022</v>
      </c>
      <c r="B80" t="s">
        <v>60</v>
      </c>
      <c r="C80" t="s">
        <v>17</v>
      </c>
      <c r="D80">
        <v>11386</v>
      </c>
    </row>
    <row r="81" spans="1:4" x14ac:dyDescent="0.3">
      <c r="A81">
        <v>2022</v>
      </c>
      <c r="B81" t="s">
        <v>61</v>
      </c>
      <c r="C81" t="s">
        <v>17</v>
      </c>
      <c r="D81">
        <v>6349</v>
      </c>
    </row>
    <row r="82" spans="1:4" x14ac:dyDescent="0.3">
      <c r="A82">
        <v>2022</v>
      </c>
      <c r="B82" t="s">
        <v>62</v>
      </c>
      <c r="C82" t="s">
        <v>17</v>
      </c>
      <c r="D82">
        <v>12140</v>
      </c>
    </row>
    <row r="83" spans="1:4" x14ac:dyDescent="0.3">
      <c r="A83">
        <v>2022</v>
      </c>
      <c r="B83" t="s">
        <v>63</v>
      </c>
      <c r="C83" t="s">
        <v>17</v>
      </c>
      <c r="D83">
        <v>8839</v>
      </c>
    </row>
    <row r="84" spans="1:4" x14ac:dyDescent="0.3">
      <c r="A84">
        <v>2022</v>
      </c>
      <c r="B84" t="s">
        <v>64</v>
      </c>
      <c r="C84" t="s">
        <v>17</v>
      </c>
      <c r="D84">
        <v>7168</v>
      </c>
    </row>
    <row r="85" spans="1:4" x14ac:dyDescent="0.3">
      <c r="A85">
        <v>2022</v>
      </c>
      <c r="B85" t="s">
        <v>65</v>
      </c>
      <c r="C85" t="s">
        <v>17</v>
      </c>
      <c r="D85">
        <v>9940</v>
      </c>
    </row>
    <row r="86" spans="1:4" x14ac:dyDescent="0.3">
      <c r="A86">
        <v>2022</v>
      </c>
      <c r="B86" t="s">
        <v>66</v>
      </c>
      <c r="C86" t="s">
        <v>17</v>
      </c>
      <c r="D86">
        <v>9027</v>
      </c>
    </row>
    <row r="87" spans="1:4" x14ac:dyDescent="0.3">
      <c r="A87">
        <v>2023</v>
      </c>
      <c r="B87" t="s">
        <v>55</v>
      </c>
      <c r="C87" t="s">
        <v>17</v>
      </c>
      <c r="D87">
        <v>8095</v>
      </c>
    </row>
    <row r="88" spans="1:4" x14ac:dyDescent="0.3">
      <c r="A88">
        <v>2023</v>
      </c>
      <c r="B88" t="s">
        <v>56</v>
      </c>
      <c r="C88" t="s">
        <v>17</v>
      </c>
      <c r="D88">
        <v>9787</v>
      </c>
    </row>
    <row r="89" spans="1:4" x14ac:dyDescent="0.3">
      <c r="A89">
        <v>2023</v>
      </c>
      <c r="B89" t="s">
        <v>57</v>
      </c>
      <c r="C89" t="s">
        <v>17</v>
      </c>
      <c r="D89">
        <v>6956</v>
      </c>
    </row>
    <row r="90" spans="1:4" x14ac:dyDescent="0.3">
      <c r="A90">
        <v>2023</v>
      </c>
      <c r="B90" t="s">
        <v>58</v>
      </c>
      <c r="C90" t="s">
        <v>17</v>
      </c>
      <c r="D90">
        <v>7357</v>
      </c>
    </row>
    <row r="91" spans="1:4" x14ac:dyDescent="0.3">
      <c r="A91">
        <v>2023</v>
      </c>
      <c r="B91" t="s">
        <v>59</v>
      </c>
      <c r="C91" t="s">
        <v>17</v>
      </c>
      <c r="D91">
        <v>6329</v>
      </c>
    </row>
    <row r="92" spans="1:4" x14ac:dyDescent="0.3">
      <c r="A92">
        <v>2023</v>
      </c>
      <c r="B92" t="s">
        <v>60</v>
      </c>
      <c r="C92" t="s">
        <v>17</v>
      </c>
      <c r="D92">
        <v>10357</v>
      </c>
    </row>
    <row r="93" spans="1:4" x14ac:dyDescent="0.3">
      <c r="A93">
        <v>2023</v>
      </c>
      <c r="B93" t="s">
        <v>61</v>
      </c>
      <c r="C93" t="s">
        <v>17</v>
      </c>
      <c r="D93">
        <v>6063</v>
      </c>
    </row>
    <row r="94" spans="1:4" x14ac:dyDescent="0.3">
      <c r="A94">
        <v>2023</v>
      </c>
      <c r="B94" t="s">
        <v>62</v>
      </c>
      <c r="C94" t="s">
        <v>17</v>
      </c>
      <c r="D94">
        <v>10923</v>
      </c>
    </row>
    <row r="95" spans="1:4" x14ac:dyDescent="0.3">
      <c r="A95">
        <v>2023</v>
      </c>
      <c r="B95" t="s">
        <v>63</v>
      </c>
      <c r="C95" t="s">
        <v>17</v>
      </c>
      <c r="D95">
        <v>9393</v>
      </c>
    </row>
    <row r="96" spans="1:4" x14ac:dyDescent="0.3">
      <c r="A96">
        <v>2023</v>
      </c>
      <c r="B96" t="s">
        <v>64</v>
      </c>
      <c r="C96" t="s">
        <v>17</v>
      </c>
      <c r="D96">
        <v>5075</v>
      </c>
    </row>
    <row r="97" spans="1:4" x14ac:dyDescent="0.3">
      <c r="A97">
        <v>2023</v>
      </c>
      <c r="B97" t="s">
        <v>65</v>
      </c>
      <c r="C97" t="s">
        <v>17</v>
      </c>
      <c r="D97">
        <v>8613</v>
      </c>
    </row>
    <row r="98" spans="1:4" x14ac:dyDescent="0.3">
      <c r="A98">
        <v>2023</v>
      </c>
      <c r="B98" t="s">
        <v>66</v>
      </c>
      <c r="C98" t="s">
        <v>17</v>
      </c>
      <c r="D98">
        <v>7987</v>
      </c>
    </row>
    <row r="99" spans="1:4" x14ac:dyDescent="0.3">
      <c r="A99">
        <v>2022</v>
      </c>
      <c r="B99" t="s">
        <v>55</v>
      </c>
      <c r="C99" t="s">
        <v>15</v>
      </c>
      <c r="D99">
        <v>10617</v>
      </c>
    </row>
    <row r="100" spans="1:4" x14ac:dyDescent="0.3">
      <c r="A100">
        <v>2022</v>
      </c>
      <c r="B100" t="s">
        <v>56</v>
      </c>
      <c r="C100" t="s">
        <v>15</v>
      </c>
      <c r="D100">
        <v>8550</v>
      </c>
    </row>
    <row r="101" spans="1:4" x14ac:dyDescent="0.3">
      <c r="A101">
        <v>2022</v>
      </c>
      <c r="B101" t="s">
        <v>57</v>
      </c>
      <c r="C101" t="s">
        <v>15</v>
      </c>
      <c r="D101">
        <v>9012</v>
      </c>
    </row>
    <row r="102" spans="1:4" x14ac:dyDescent="0.3">
      <c r="A102">
        <v>2022</v>
      </c>
      <c r="B102" t="s">
        <v>58</v>
      </c>
      <c r="C102" t="s">
        <v>15</v>
      </c>
      <c r="D102">
        <v>8166</v>
      </c>
    </row>
    <row r="103" spans="1:4" x14ac:dyDescent="0.3">
      <c r="A103">
        <v>2022</v>
      </c>
      <c r="B103" t="s">
        <v>59</v>
      </c>
      <c r="C103" t="s">
        <v>15</v>
      </c>
      <c r="D103">
        <v>7589</v>
      </c>
    </row>
    <row r="104" spans="1:4" x14ac:dyDescent="0.3">
      <c r="A104">
        <v>2022</v>
      </c>
      <c r="B104" t="s">
        <v>60</v>
      </c>
      <c r="C104" t="s">
        <v>15</v>
      </c>
      <c r="D104">
        <v>9448</v>
      </c>
    </row>
    <row r="105" spans="1:4" x14ac:dyDescent="0.3">
      <c r="A105">
        <v>2022</v>
      </c>
      <c r="B105" t="s">
        <v>61</v>
      </c>
      <c r="C105" t="s">
        <v>15</v>
      </c>
      <c r="D105">
        <v>7722</v>
      </c>
    </row>
    <row r="106" spans="1:4" x14ac:dyDescent="0.3">
      <c r="A106">
        <v>2022</v>
      </c>
      <c r="B106" t="s">
        <v>62</v>
      </c>
      <c r="C106" t="s">
        <v>15</v>
      </c>
      <c r="D106">
        <v>9097</v>
      </c>
    </row>
    <row r="107" spans="1:4" x14ac:dyDescent="0.3">
      <c r="A107">
        <v>2022</v>
      </c>
      <c r="B107" t="s">
        <v>63</v>
      </c>
      <c r="C107" t="s">
        <v>15</v>
      </c>
      <c r="D107">
        <v>10032</v>
      </c>
    </row>
    <row r="108" spans="1:4" x14ac:dyDescent="0.3">
      <c r="A108">
        <v>2022</v>
      </c>
      <c r="B108" t="s">
        <v>64</v>
      </c>
      <c r="C108" t="s">
        <v>15</v>
      </c>
      <c r="D108">
        <v>7903</v>
      </c>
    </row>
    <row r="109" spans="1:4" x14ac:dyDescent="0.3">
      <c r="A109">
        <v>2022</v>
      </c>
      <c r="B109" t="s">
        <v>65</v>
      </c>
      <c r="C109" t="s">
        <v>15</v>
      </c>
      <c r="D109">
        <v>10395</v>
      </c>
    </row>
    <row r="110" spans="1:4" x14ac:dyDescent="0.3">
      <c r="A110">
        <v>2022</v>
      </c>
      <c r="B110" t="s">
        <v>66</v>
      </c>
      <c r="C110" t="s">
        <v>15</v>
      </c>
      <c r="D110">
        <v>8749</v>
      </c>
    </row>
    <row r="111" spans="1:4" x14ac:dyDescent="0.3">
      <c r="A111">
        <v>2023</v>
      </c>
      <c r="B111" t="s">
        <v>55</v>
      </c>
      <c r="C111" t="s">
        <v>15</v>
      </c>
      <c r="D111">
        <v>11531</v>
      </c>
    </row>
    <row r="112" spans="1:4" x14ac:dyDescent="0.3">
      <c r="A112">
        <v>2023</v>
      </c>
      <c r="B112" t="s">
        <v>56</v>
      </c>
      <c r="C112" t="s">
        <v>15</v>
      </c>
      <c r="D112">
        <v>8953</v>
      </c>
    </row>
    <row r="113" spans="1:4" x14ac:dyDescent="0.3">
      <c r="A113">
        <v>2023</v>
      </c>
      <c r="B113" t="s">
        <v>57</v>
      </c>
      <c r="C113" t="s">
        <v>15</v>
      </c>
      <c r="D113">
        <v>12116</v>
      </c>
    </row>
    <row r="114" spans="1:4" x14ac:dyDescent="0.3">
      <c r="A114">
        <v>2023</v>
      </c>
      <c r="B114" t="s">
        <v>58</v>
      </c>
      <c r="C114" t="s">
        <v>15</v>
      </c>
      <c r="D114">
        <v>8544</v>
      </c>
    </row>
    <row r="115" spans="1:4" x14ac:dyDescent="0.3">
      <c r="A115">
        <v>2023</v>
      </c>
      <c r="B115" t="s">
        <v>59</v>
      </c>
      <c r="C115" t="s">
        <v>15</v>
      </c>
      <c r="D115">
        <v>7759</v>
      </c>
    </row>
    <row r="116" spans="1:4" x14ac:dyDescent="0.3">
      <c r="A116">
        <v>2023</v>
      </c>
      <c r="B116" t="s">
        <v>60</v>
      </c>
      <c r="C116" t="s">
        <v>15</v>
      </c>
      <c r="D116">
        <v>7986</v>
      </c>
    </row>
    <row r="117" spans="1:4" x14ac:dyDescent="0.3">
      <c r="A117">
        <v>2023</v>
      </c>
      <c r="B117" t="s">
        <v>61</v>
      </c>
      <c r="C117" t="s">
        <v>15</v>
      </c>
      <c r="D117">
        <v>12305</v>
      </c>
    </row>
    <row r="118" spans="1:4" x14ac:dyDescent="0.3">
      <c r="A118">
        <v>2023</v>
      </c>
      <c r="B118" t="s">
        <v>62</v>
      </c>
      <c r="C118" t="s">
        <v>15</v>
      </c>
      <c r="D118">
        <v>6574</v>
      </c>
    </row>
    <row r="119" spans="1:4" x14ac:dyDescent="0.3">
      <c r="A119">
        <v>2023</v>
      </c>
      <c r="B119" t="s">
        <v>63</v>
      </c>
      <c r="C119" t="s">
        <v>15</v>
      </c>
      <c r="D119">
        <v>10235</v>
      </c>
    </row>
    <row r="120" spans="1:4" x14ac:dyDescent="0.3">
      <c r="A120">
        <v>2023</v>
      </c>
      <c r="B120" t="s">
        <v>64</v>
      </c>
      <c r="C120" t="s">
        <v>15</v>
      </c>
      <c r="D120">
        <v>7339</v>
      </c>
    </row>
    <row r="121" spans="1:4" x14ac:dyDescent="0.3">
      <c r="A121">
        <v>2023</v>
      </c>
      <c r="B121" t="s">
        <v>65</v>
      </c>
      <c r="C121" t="s">
        <v>15</v>
      </c>
      <c r="D121">
        <v>6064</v>
      </c>
    </row>
    <row r="122" spans="1:4" x14ac:dyDescent="0.3">
      <c r="A122">
        <v>2023</v>
      </c>
      <c r="B122" t="s">
        <v>66</v>
      </c>
      <c r="C122" t="s">
        <v>15</v>
      </c>
      <c r="D122">
        <v>7936</v>
      </c>
    </row>
  </sheetData>
  <phoneticPr fontId="2" type="noConversion"/>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D3E6-EF2F-45ED-ADF1-2D9B8CB7B857}">
  <dimension ref="A1:I15"/>
  <sheetViews>
    <sheetView zoomScale="81" workbookViewId="0">
      <selection activeCell="J15" sqref="J15"/>
    </sheetView>
  </sheetViews>
  <sheetFormatPr defaultRowHeight="14.4" x14ac:dyDescent="0.3"/>
  <cols>
    <col min="1" max="1" width="16.33203125" bestFit="1" customWidth="1"/>
    <col min="2" max="2" width="15.44140625" bestFit="1" customWidth="1"/>
    <col min="3" max="3" width="9.77734375" bestFit="1" customWidth="1"/>
    <col min="4" max="4" width="20.6640625" bestFit="1" customWidth="1"/>
    <col min="5" max="5" width="17.21875" bestFit="1" customWidth="1"/>
    <col min="6" max="6" width="12" bestFit="1" customWidth="1"/>
    <col min="7" max="7" width="20.6640625" bestFit="1" customWidth="1"/>
    <col min="8" max="8" width="14.5546875" bestFit="1" customWidth="1"/>
    <col min="9" max="9" width="22" bestFit="1" customWidth="1"/>
    <col min="10" max="10" width="9.6640625" bestFit="1" customWidth="1"/>
    <col min="11" max="11" width="7.44140625" bestFit="1" customWidth="1"/>
    <col min="12" max="12" width="9.21875" bestFit="1" customWidth="1"/>
    <col min="13" max="13" width="9.109375" bestFit="1" customWidth="1"/>
    <col min="14" max="14" width="17.21875" bestFit="1" customWidth="1"/>
    <col min="15" max="25" width="12" bestFit="1" customWidth="1"/>
    <col min="26" max="26" width="14.5546875" bestFit="1" customWidth="1"/>
    <col min="27" max="27" width="22" bestFit="1" customWidth="1"/>
    <col min="28" max="35" width="12" bestFit="1" customWidth="1"/>
    <col min="36" max="37" width="11" bestFit="1" customWidth="1"/>
    <col min="38" max="38" width="12" bestFit="1" customWidth="1"/>
    <col min="39" max="39" width="11" bestFit="1" customWidth="1"/>
    <col min="40" max="53" width="12" bestFit="1" customWidth="1"/>
    <col min="54" max="54" width="11" bestFit="1" customWidth="1"/>
    <col min="55" max="55" width="12" bestFit="1" customWidth="1"/>
    <col min="56" max="56" width="11" bestFit="1" customWidth="1"/>
    <col min="57" max="70" width="12" bestFit="1" customWidth="1"/>
    <col min="71" max="71" width="11" bestFit="1" customWidth="1"/>
    <col min="72" max="79" width="12" bestFit="1" customWidth="1"/>
    <col min="80" max="80" width="11" bestFit="1" customWidth="1"/>
    <col min="81" max="125" width="12" bestFit="1" customWidth="1"/>
    <col min="126" max="126" width="11" bestFit="1" customWidth="1"/>
    <col min="127" max="127" width="12" bestFit="1" customWidth="1"/>
    <col min="128" max="128" width="11" bestFit="1" customWidth="1"/>
    <col min="129" max="140" width="12" bestFit="1" customWidth="1"/>
    <col min="141" max="141" width="10" bestFit="1" customWidth="1"/>
    <col min="142" max="143" width="12" bestFit="1" customWidth="1"/>
    <col min="144" max="144" width="11" bestFit="1" customWidth="1"/>
    <col min="145" max="146" width="12" bestFit="1" customWidth="1"/>
    <col min="147" max="147" width="10" bestFit="1" customWidth="1"/>
    <col min="148" max="165" width="12" bestFit="1" customWidth="1"/>
    <col min="166" max="166" width="11" bestFit="1" customWidth="1"/>
    <col min="167" max="181" width="12" bestFit="1" customWidth="1"/>
    <col min="182" max="182" width="9.6640625" bestFit="1" customWidth="1"/>
    <col min="183" max="200" width="12" bestFit="1" customWidth="1"/>
    <col min="201" max="201" width="11" bestFit="1" customWidth="1"/>
    <col min="202" max="219" width="12" bestFit="1" customWidth="1"/>
    <col min="220" max="220" width="11" bestFit="1" customWidth="1"/>
    <col min="221" max="227" width="12" bestFit="1" customWidth="1"/>
    <col min="228" max="228" width="11" bestFit="1" customWidth="1"/>
    <col min="229" max="232" width="12" bestFit="1" customWidth="1"/>
    <col min="233" max="233" width="11" bestFit="1" customWidth="1"/>
    <col min="234" max="253" width="12" bestFit="1" customWidth="1"/>
    <col min="254" max="254" width="11" bestFit="1" customWidth="1"/>
    <col min="255" max="275" width="12" bestFit="1" customWidth="1"/>
    <col min="276" max="276" width="11" bestFit="1" customWidth="1"/>
    <col min="277" max="297" width="12" bestFit="1" customWidth="1"/>
    <col min="298" max="299" width="11" bestFit="1" customWidth="1"/>
    <col min="300" max="314" width="12" bestFit="1" customWidth="1"/>
    <col min="315" max="315" width="11" bestFit="1" customWidth="1"/>
    <col min="316" max="318" width="12" bestFit="1" customWidth="1"/>
    <col min="319" max="319" width="11" bestFit="1" customWidth="1"/>
    <col min="320" max="332" width="12" bestFit="1" customWidth="1"/>
    <col min="333" max="333" width="11" bestFit="1" customWidth="1"/>
    <col min="334" max="337" width="12" bestFit="1" customWidth="1"/>
    <col min="338" max="338" width="11" bestFit="1" customWidth="1"/>
    <col min="339" max="352" width="12" bestFit="1" customWidth="1"/>
    <col min="353" max="353" width="11" bestFit="1" customWidth="1"/>
    <col min="354" max="355" width="12" bestFit="1" customWidth="1"/>
    <col min="356" max="356" width="10" bestFit="1" customWidth="1"/>
    <col min="357" max="357" width="11" bestFit="1" customWidth="1"/>
    <col min="358" max="362" width="12" bestFit="1" customWidth="1"/>
    <col min="363" max="363" width="9.6640625" bestFit="1" customWidth="1"/>
    <col min="364" max="364" width="10.5546875" bestFit="1" customWidth="1"/>
  </cols>
  <sheetData>
    <row r="1" spans="1:9" ht="20.399999999999999" x14ac:dyDescent="0.35">
      <c r="A1" s="16" t="s">
        <v>78</v>
      </c>
      <c r="E1" s="13"/>
    </row>
    <row r="4" spans="1:9" x14ac:dyDescent="0.3">
      <c r="B4" s="10" t="s">
        <v>86</v>
      </c>
    </row>
    <row r="5" spans="1:9" x14ac:dyDescent="0.3">
      <c r="B5" t="s">
        <v>83</v>
      </c>
      <c r="E5" t="s">
        <v>75</v>
      </c>
      <c r="H5" t="s">
        <v>87</v>
      </c>
      <c r="I5" t="s">
        <v>88</v>
      </c>
    </row>
    <row r="6" spans="1:9" x14ac:dyDescent="0.3">
      <c r="A6" s="10" t="s">
        <v>35</v>
      </c>
      <c r="B6" t="s">
        <v>24</v>
      </c>
      <c r="C6" t="s">
        <v>27</v>
      </c>
      <c r="D6" t="s">
        <v>23</v>
      </c>
      <c r="E6" t="s">
        <v>24</v>
      </c>
      <c r="F6" t="s">
        <v>27</v>
      </c>
      <c r="G6" t="s">
        <v>23</v>
      </c>
    </row>
    <row r="7" spans="1:9" x14ac:dyDescent="0.3">
      <c r="A7" s="11" t="s">
        <v>15</v>
      </c>
      <c r="B7">
        <v>79583</v>
      </c>
      <c r="C7">
        <v>63136</v>
      </c>
      <c r="D7">
        <v>71903</v>
      </c>
      <c r="E7">
        <v>3712.7347748151524</v>
      </c>
      <c r="F7">
        <v>3091.9877895300037</v>
      </c>
      <c r="G7">
        <v>3895.8550221829091</v>
      </c>
      <c r="H7">
        <v>214622</v>
      </c>
      <c r="I7">
        <v>10700.577586528067</v>
      </c>
    </row>
    <row r="8" spans="1:9" x14ac:dyDescent="0.3">
      <c r="A8" s="11" t="s">
        <v>17</v>
      </c>
      <c r="B8">
        <v>65327</v>
      </c>
      <c r="C8">
        <v>70492</v>
      </c>
      <c r="D8">
        <v>73099</v>
      </c>
      <c r="E8">
        <v>3531.1335076270807</v>
      </c>
      <c r="F8">
        <v>3197.1419328380871</v>
      </c>
      <c r="G8">
        <v>3848.9521084709836</v>
      </c>
      <c r="H8">
        <v>208918</v>
      </c>
      <c r="I8">
        <v>10577.227548936151</v>
      </c>
    </row>
    <row r="9" spans="1:9" x14ac:dyDescent="0.3">
      <c r="A9" s="11" t="s">
        <v>33</v>
      </c>
      <c r="B9">
        <v>67810</v>
      </c>
      <c r="C9">
        <v>78089</v>
      </c>
      <c r="D9">
        <v>72944</v>
      </c>
      <c r="E9">
        <v>3365.7658411345546</v>
      </c>
      <c r="F9">
        <v>3870.5841333139961</v>
      </c>
      <c r="G9">
        <v>3539.5819326405044</v>
      </c>
      <c r="H9">
        <v>218843</v>
      </c>
      <c r="I9">
        <v>10775.931907089056</v>
      </c>
    </row>
    <row r="10" spans="1:9" x14ac:dyDescent="0.3">
      <c r="A10" s="11" t="s">
        <v>34</v>
      </c>
      <c r="B10">
        <v>76457</v>
      </c>
      <c r="C10">
        <v>73447</v>
      </c>
      <c r="D10">
        <v>77557</v>
      </c>
      <c r="E10">
        <v>3961.3548573440612</v>
      </c>
      <c r="F10">
        <v>3526.2021171178585</v>
      </c>
      <c r="G10">
        <v>3700.4549851417396</v>
      </c>
      <c r="H10">
        <v>227461</v>
      </c>
      <c r="I10">
        <v>11188.01195960366</v>
      </c>
    </row>
    <row r="11" spans="1:9" x14ac:dyDescent="0.3">
      <c r="A11" s="11" t="s">
        <v>16</v>
      </c>
      <c r="B11">
        <v>63499</v>
      </c>
      <c r="C11">
        <v>69254</v>
      </c>
      <c r="D11">
        <v>75907</v>
      </c>
      <c r="E11">
        <v>3092.0119717424777</v>
      </c>
      <c r="F11">
        <v>3356.0913885360956</v>
      </c>
      <c r="G11">
        <v>3795.0461522189412</v>
      </c>
      <c r="H11">
        <v>208660</v>
      </c>
      <c r="I11">
        <v>10243.149512497515</v>
      </c>
    </row>
    <row r="12" spans="1:9" x14ac:dyDescent="0.3">
      <c r="A12" s="11" t="s">
        <v>53</v>
      </c>
      <c r="B12">
        <v>352676</v>
      </c>
      <c r="C12">
        <v>354418</v>
      </c>
      <c r="D12" s="22">
        <v>371410</v>
      </c>
      <c r="E12">
        <v>17663.000952663326</v>
      </c>
      <c r="F12">
        <v>17042.00736133604</v>
      </c>
      <c r="G12" s="22">
        <v>18779.890200655078</v>
      </c>
      <c r="H12">
        <v>1078504</v>
      </c>
      <c r="I12">
        <v>53484.898514654444</v>
      </c>
    </row>
    <row r="15" spans="1:9" ht="17.399999999999999" x14ac:dyDescent="0.3">
      <c r="D15" s="22" t="s">
        <v>93</v>
      </c>
      <c r="G15" s="23" t="s">
        <v>77</v>
      </c>
    </row>
  </sheetData>
  <conditionalFormatting sqref="A16">
    <cfRule type="dataBar" priority="2">
      <dataBar>
        <cfvo type="min"/>
        <cfvo type="max"/>
        <color rgb="FF63C384"/>
      </dataBar>
      <extLst>
        <ext xmlns:x14="http://schemas.microsoft.com/office/spreadsheetml/2009/9/main" uri="{B025F937-C7B1-47D3-B67F-A62EFF666E3E}">
          <x14:id>{2B9E1AC2-8CC2-429D-B80F-DFF997572646}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B9E1AC2-8CC2-429D-B80F-DFF997572646}">
            <x14:dataBar minLength="0" maxLength="100" border="1" negativeBarBorderColorSameAsPositive="0">
              <x14:cfvo type="autoMin"/>
              <x14:cfvo type="autoMax"/>
              <x14:borderColor rgb="FF63C384"/>
              <x14:negativeFillColor rgb="FFFF0000"/>
              <x14:negativeBorderColor rgb="FFFF0000"/>
              <x14:axisColor rgb="FF000000"/>
            </x14:dataBar>
          </x14:cfRule>
          <xm:sqref>A16</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A35A-7C77-4C28-B195-FE4E9C173AF4}">
  <dimension ref="B1:X25"/>
  <sheetViews>
    <sheetView workbookViewId="0">
      <selection activeCell="K20" sqref="K20"/>
    </sheetView>
  </sheetViews>
  <sheetFormatPr defaultRowHeight="14.4" x14ac:dyDescent="0.3"/>
  <cols>
    <col min="9" max="9" width="10.77734375" bestFit="1" customWidth="1"/>
    <col min="11" max="12" width="14.88671875" bestFit="1" customWidth="1"/>
    <col min="13" max="13" width="10.6640625" bestFit="1" customWidth="1"/>
    <col min="14" max="14" width="15.5546875" bestFit="1" customWidth="1"/>
    <col min="15" max="15" width="13.77734375" bestFit="1" customWidth="1"/>
    <col min="16" max="16" width="17.88671875" bestFit="1" customWidth="1"/>
    <col min="17" max="17" width="19.77734375" bestFit="1" customWidth="1"/>
    <col min="18" max="18" width="16.88671875" bestFit="1" customWidth="1"/>
    <col min="19" max="19" width="11.6640625" bestFit="1" customWidth="1"/>
    <col min="20" max="20" width="24.33203125" bestFit="1" customWidth="1"/>
    <col min="21" max="21" width="11.77734375" customWidth="1"/>
    <col min="22" max="22" width="12.109375" bestFit="1" customWidth="1"/>
  </cols>
  <sheetData>
    <row r="1" spans="2:20" x14ac:dyDescent="0.3">
      <c r="B1" s="20" t="s">
        <v>95</v>
      </c>
      <c r="H1" s="12" t="s">
        <v>84</v>
      </c>
    </row>
    <row r="2" spans="2:20" x14ac:dyDescent="0.3">
      <c r="R2" s="10" t="s">
        <v>35</v>
      </c>
      <c r="S2" t="s">
        <v>74</v>
      </c>
      <c r="T2" t="s">
        <v>80</v>
      </c>
    </row>
    <row r="3" spans="2:20" x14ac:dyDescent="0.3">
      <c r="R3" s="11" t="s">
        <v>15</v>
      </c>
      <c r="S3">
        <v>214622</v>
      </c>
      <c r="T3" s="19">
        <v>10700.577499999998</v>
      </c>
    </row>
    <row r="4" spans="2:20" x14ac:dyDescent="0.3">
      <c r="R4" s="11" t="s">
        <v>17</v>
      </c>
      <c r="S4">
        <v>208918</v>
      </c>
      <c r="T4" s="19">
        <v>10577.227599999998</v>
      </c>
    </row>
    <row r="5" spans="2:20" x14ac:dyDescent="0.3">
      <c r="R5" s="11" t="s">
        <v>33</v>
      </c>
      <c r="S5">
        <v>218843</v>
      </c>
      <c r="T5" s="19">
        <v>10775.932100000004</v>
      </c>
    </row>
    <row r="6" spans="2:20" x14ac:dyDescent="0.3">
      <c r="R6" s="11" t="s">
        <v>34</v>
      </c>
      <c r="S6">
        <v>227461</v>
      </c>
      <c r="T6" s="19">
        <v>11188.012000000002</v>
      </c>
    </row>
    <row r="7" spans="2:20" x14ac:dyDescent="0.3">
      <c r="R7" s="11" t="s">
        <v>16</v>
      </c>
      <c r="S7">
        <v>208660</v>
      </c>
      <c r="T7" s="19">
        <v>10243.149500000001</v>
      </c>
    </row>
    <row r="8" spans="2:20" x14ac:dyDescent="0.3">
      <c r="R8" s="11" t="s">
        <v>53</v>
      </c>
      <c r="S8">
        <v>1078504</v>
      </c>
      <c r="T8">
        <v>53484.898700000005</v>
      </c>
    </row>
    <row r="9" spans="2:20" x14ac:dyDescent="0.3">
      <c r="R9" s="11"/>
      <c r="S9" s="17"/>
    </row>
    <row r="12" spans="2:20" x14ac:dyDescent="0.3">
      <c r="R12" s="11"/>
    </row>
    <row r="13" spans="2:20" ht="15.6" x14ac:dyDescent="0.3">
      <c r="B13" s="21" t="s">
        <v>99</v>
      </c>
      <c r="Q13" s="24" t="s">
        <v>89</v>
      </c>
      <c r="R13">
        <f>SUM(Table1[Sales])</f>
        <v>1078504</v>
      </c>
    </row>
    <row r="14" spans="2:20" x14ac:dyDescent="0.3">
      <c r="Q14" s="24" t="s">
        <v>90</v>
      </c>
      <c r="R14">
        <f>SUM(Table1[Commission])</f>
        <v>53484.898514654451</v>
      </c>
    </row>
    <row r="15" spans="2:20" x14ac:dyDescent="0.3">
      <c r="Q15" s="25" t="s">
        <v>76</v>
      </c>
      <c r="R15">
        <f>R13-R14</f>
        <v>1025019.1014853455</v>
      </c>
    </row>
    <row r="16" spans="2:20" x14ac:dyDescent="0.3">
      <c r="Q16" s="25" t="s">
        <v>91</v>
      </c>
      <c r="R16">
        <f>R13-R15+R14</f>
        <v>106969.79702930895</v>
      </c>
    </row>
    <row r="17" spans="11:24" x14ac:dyDescent="0.3">
      <c r="Q17" s="25" t="s">
        <v>94</v>
      </c>
      <c r="R17">
        <f>R15-R16</f>
        <v>918049.30445603654</v>
      </c>
    </row>
    <row r="18" spans="11:24" x14ac:dyDescent="0.3">
      <c r="Q18" s="11"/>
    </row>
    <row r="19" spans="11:24" ht="15.6" x14ac:dyDescent="0.35">
      <c r="P19" s="25" t="s">
        <v>96</v>
      </c>
      <c r="Q19" s="24" t="s">
        <v>85</v>
      </c>
      <c r="R19" s="24" t="s">
        <v>81</v>
      </c>
      <c r="S19" s="24" t="s">
        <v>97</v>
      </c>
      <c r="T19" s="25" t="s">
        <v>92</v>
      </c>
      <c r="U19" s="25" t="s">
        <v>98</v>
      </c>
      <c r="V19" s="26"/>
      <c r="W19" s="26"/>
      <c r="X19" s="26"/>
    </row>
    <row r="20" spans="11:24" x14ac:dyDescent="0.3">
      <c r="P20" s="11" t="s">
        <v>15</v>
      </c>
      <c r="Q20">
        <v>214622</v>
      </c>
      <c r="R20">
        <v>225000</v>
      </c>
      <c r="S20">
        <f>Q20</f>
        <v>214622</v>
      </c>
      <c r="T20">
        <f>IF(Q20&gt;R20,Q20-R20,0)</f>
        <v>0</v>
      </c>
      <c r="U20" s="25">
        <f>IF(Q20&lt;R20,R20-Q20)</f>
        <v>10378</v>
      </c>
    </row>
    <row r="21" spans="11:24" x14ac:dyDescent="0.3">
      <c r="P21" s="11" t="s">
        <v>17</v>
      </c>
      <c r="Q21">
        <v>208918</v>
      </c>
      <c r="R21">
        <v>225000</v>
      </c>
      <c r="S21">
        <f t="shared" ref="S21:S24" si="0">Q21</f>
        <v>208918</v>
      </c>
      <c r="T21">
        <f t="shared" ref="T21:T24" si="1">IF(Q21&gt;R21,Q21-R21,0)</f>
        <v>0</v>
      </c>
      <c r="U21" s="25">
        <f t="shared" ref="U21:U24" si="2">IF(Q21&lt;R21,R21-Q21)</f>
        <v>16082</v>
      </c>
    </row>
    <row r="22" spans="11:24" x14ac:dyDescent="0.3">
      <c r="K22" s="11"/>
      <c r="P22" s="11" t="s">
        <v>33</v>
      </c>
      <c r="Q22">
        <v>218843</v>
      </c>
      <c r="R22">
        <v>225000</v>
      </c>
      <c r="S22">
        <f t="shared" si="0"/>
        <v>218843</v>
      </c>
      <c r="T22">
        <f t="shared" si="1"/>
        <v>0</v>
      </c>
      <c r="U22" s="25">
        <f t="shared" si="2"/>
        <v>6157</v>
      </c>
    </row>
    <row r="23" spans="11:24" x14ac:dyDescent="0.3">
      <c r="P23" s="11" t="s">
        <v>34</v>
      </c>
      <c r="Q23">
        <v>227461</v>
      </c>
      <c r="R23">
        <v>225000</v>
      </c>
      <c r="S23">
        <f t="shared" si="0"/>
        <v>227461</v>
      </c>
      <c r="T23" s="28">
        <f t="shared" si="1"/>
        <v>2461</v>
      </c>
      <c r="U23" s="25" t="b">
        <f>IF(Q23&lt;R23,R23-Q23)</f>
        <v>0</v>
      </c>
    </row>
    <row r="24" spans="11:24" x14ac:dyDescent="0.3">
      <c r="P24" s="11" t="s">
        <v>16</v>
      </c>
      <c r="Q24">
        <v>208660</v>
      </c>
      <c r="R24">
        <v>225000</v>
      </c>
      <c r="S24">
        <f t="shared" si="0"/>
        <v>208660</v>
      </c>
      <c r="T24">
        <f t="shared" si="1"/>
        <v>0</v>
      </c>
      <c r="U24" s="25">
        <f t="shared" si="2"/>
        <v>16340</v>
      </c>
    </row>
    <row r="25" spans="11:24" ht="15.6" x14ac:dyDescent="0.35">
      <c r="M25" s="18"/>
      <c r="S25" s="26"/>
      <c r="T25" s="26"/>
      <c r="U25" s="27"/>
      <c r="V25" s="27"/>
      <c r="W25" s="27"/>
      <c r="X25" s="26"/>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21EA2517BB5547B7C3C8305ED3C563" ma:contentTypeVersion="4" ma:contentTypeDescription="Create a new document." ma:contentTypeScope="" ma:versionID="ad706306ee593a00de6a24446e6fe9a7">
  <xsd:schema xmlns:xsd="http://www.w3.org/2001/XMLSchema" xmlns:xs="http://www.w3.org/2001/XMLSchema" xmlns:p="http://schemas.microsoft.com/office/2006/metadata/properties" xmlns:ns3="d1f54801-15de-4ed1-bcc7-063672ed59fd" targetNamespace="http://schemas.microsoft.com/office/2006/metadata/properties" ma:root="true" ma:fieldsID="773005a04e512e525c563716447cf377" ns3:_="">
    <xsd:import namespace="d1f54801-15de-4ed1-bcc7-063672ed59f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54801-15de-4ed1-bcc7-063672ed59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9FC6838-A787-47A3-A444-482053FB4765}">
  <ds:schemaRefs>
    <ds:schemaRef ds:uri="http://purl.org/dc/elements/1.1/"/>
    <ds:schemaRef ds:uri="http://www.w3.org/XML/1998/namespace"/>
    <ds:schemaRef ds:uri="http://purl.org/dc/dcmitype/"/>
    <ds:schemaRef ds:uri="http://schemas.microsoft.com/office/infopath/2007/PartnerControls"/>
    <ds:schemaRef ds:uri="http://schemas.microsoft.com/office/2006/metadata/properties"/>
    <ds:schemaRef ds:uri="d1f54801-15de-4ed1-bcc7-063672ed59fd"/>
    <ds:schemaRef ds:uri="http://schemas.microsoft.com/office/2006/documentManagement/type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6B378DD-10DC-4AA8-BD31-54E80B32C1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f54801-15de-4ed1-bcc7-063672ed59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096062-94C7-4BAB-BCA4-06B5C371AC59}">
  <ds:schemaRefs>
    <ds:schemaRef ds:uri="http://schemas.microsoft.com/sharepoint/v3/contenttype/forms"/>
  </ds:schemaRefs>
</ds:datastoreItem>
</file>

<file path=customXml/itemProps4.xml><?xml version="1.0" encoding="utf-8"?>
<ds:datastoreItem xmlns:ds="http://schemas.openxmlformats.org/officeDocument/2006/customXml" ds:itemID="{04AE66BF-8245-48DB-A6F7-5FD0700A60A4}">
  <ds:schemaRefs>
    <ds:schemaRef ds:uri="http://schemas.microsoft.com/DataMashup"/>
  </ds:schemaRefs>
</ds:datastoreItem>
</file>

<file path=docMetadata/LabelInfo.xml><?xml version="1.0" encoding="utf-8"?>
<clbl:labelList xmlns:clbl="http://schemas.microsoft.com/office/2020/mipLabelMetadata">
  <clbl:label id="{c8590879-16e2-4eef-803b-2c1745e7cf9e}" enabled="0" method="" siteId="{c8590879-16e2-4eef-803b-2c1745e7cf9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Managers</vt:lpstr>
      <vt:lpstr>Data</vt:lpstr>
      <vt:lpstr>Detailed Performance Analysis</vt:lpstr>
      <vt:lpstr>Power Pivot-Key Facts</vt:lpstr>
      <vt:lpstr>Data visualization(Dashboard)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Lopatin</dc:creator>
  <cp:lastModifiedBy>nirbhik singh</cp:lastModifiedBy>
  <dcterms:created xsi:type="dcterms:W3CDTF">2024-01-16T00:49:23Z</dcterms:created>
  <dcterms:modified xsi:type="dcterms:W3CDTF">2026-02-06T17:42:19Z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0x0101000E21EA2517BB5547B7C3C8305ED3C563</vt:lpwstr>
  </property>
</Properties>
</file>